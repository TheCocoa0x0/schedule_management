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ito\OneDrive\Desktop\work\スケジュール管理アプリ開発\"/>
    </mc:Choice>
  </mc:AlternateContent>
  <xr:revisionPtr revIDLastSave="0" documentId="13_ncr:1_{310DA461-462F-4E8E-92A4-FD36C77A1F7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表紙" sheetId="4" r:id="rId1"/>
    <sheet name="更新履歴" sheetId="7" r:id="rId2"/>
    <sheet name="機能定義" sheetId="13" r:id="rId3"/>
    <sheet name="画面遷移図" sheetId="20" r:id="rId4"/>
    <sheet name="画面設計" sheetId="19" r:id="rId5"/>
    <sheet name="チェック仕様" sheetId="15" r:id="rId6"/>
    <sheet name="外部IF仕様" sheetId="14" r:id="rId7"/>
    <sheet name="テーブル定義" sheetId="17" r:id="rId8"/>
    <sheet name="ER図" sheetId="18" r:id="rId9"/>
    <sheet name="フォーマット" sheetId="9" state="hidden" r:id="rId10"/>
  </sheets>
  <definedNames>
    <definedName name="_xlnm.Print_Area" localSheetId="6">外部IF仕様!$A$1:$AR$35</definedName>
    <definedName name="_xlnm.Print_Area" localSheetId="2">機能定義!$A$1:$AN$90</definedName>
    <definedName name="_xlnm.Print_Area" localSheetId="0">表紙!$A$1:$AO$36</definedName>
    <definedName name="_xlnm.Print_Titles" localSheetId="8">ER図!$1:$2</definedName>
    <definedName name="_xlnm.Print_Titles" localSheetId="5">チェック仕様!$1:$2</definedName>
    <definedName name="_xlnm.Print_Titles" localSheetId="7">テーブル定義!$1:$2</definedName>
    <definedName name="_xlnm.Print_Titles" localSheetId="9">フォーマット!$1:$2</definedName>
    <definedName name="_xlnm.Print_Titles" localSheetId="4">画面設計!$1:$2</definedName>
    <definedName name="_xlnm.Print_Titles" localSheetId="3">画面遷移図!$1:$2</definedName>
    <definedName name="_xlnm.Print_Titles" localSheetId="6">外部IF仕様!$1:$2</definedName>
    <definedName name="_xlnm.Print_Titles" localSheetId="2">機能定義!$1:$2</definedName>
    <definedName name="_xlnm.Print_Titles" localSheetId="1">更新履歴!$1:$2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0" l="1"/>
  <c r="Y1" i="20"/>
  <c r="E1" i="20"/>
  <c r="E1" i="19"/>
  <c r="E1" i="18"/>
  <c r="E1" i="14" l="1"/>
  <c r="E1" i="17"/>
  <c r="E1" i="9"/>
  <c r="E1" i="15"/>
  <c r="E1" i="13"/>
  <c r="AA22" i="4" a="1"/>
  <c r="AA22" i="4" s="1"/>
  <c r="W22" i="4" a="1"/>
  <c r="W22" i="4" s="1"/>
  <c r="Y2" i="14"/>
  <c r="K22" i="4" a="1"/>
  <c r="K22" i="4" s="1"/>
  <c r="Y1" i="17"/>
  <c r="E1" i="7"/>
  <c r="S1" i="17" l="1"/>
  <c r="S1" i="20"/>
  <c r="AG1" i="14"/>
  <c r="AG1" i="20"/>
  <c r="AG2" i="14"/>
  <c r="AG2" i="20"/>
  <c r="Y2" i="15"/>
  <c r="AG1" i="17"/>
  <c r="AG1" i="13"/>
  <c r="Y2" i="13"/>
  <c r="Y2" i="17"/>
  <c r="Y1" i="7"/>
  <c r="Y1" i="19"/>
  <c r="Y1" i="18"/>
  <c r="AG2" i="17"/>
  <c r="S1" i="7"/>
  <c r="S1" i="19"/>
  <c r="S1" i="18"/>
  <c r="Y1" i="13"/>
  <c r="AG2" i="15"/>
  <c r="AG2" i="13"/>
  <c r="S1" i="14"/>
  <c r="Y1" i="14"/>
  <c r="AG1" i="7"/>
  <c r="AG1" i="19"/>
  <c r="AG1" i="18"/>
  <c r="S1" i="15"/>
  <c r="Y2" i="7"/>
  <c r="Y2" i="19"/>
  <c r="Y2" i="18"/>
  <c r="Y1" i="15"/>
  <c r="AG2" i="7"/>
  <c r="AG2" i="19"/>
  <c r="AG2" i="18"/>
  <c r="S1" i="13"/>
  <c r="AG1" i="15"/>
  <c r="S1" i="9"/>
  <c r="Y1" i="9"/>
  <c r="AG1" i="9"/>
  <c r="Y2" i="9"/>
  <c r="AG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<sst xmlns="http://schemas.openxmlformats.org/spreadsheetml/2006/main" count="437" uniqueCount="190">
  <si>
    <t>外部設計書</t>
    <rPh sb="0" eb="5">
      <t>ガイブセッケイショ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</si>
  <si>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</si>
  <si>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</si>
  <si>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版数</t>
    <rPh sb="0" eb="2">
      <t>ハンスウ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</si>
  <si>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</si>
  <si>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</si>
  <si>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更新履歴</t>
    <rPh sb="0" eb="4">
      <t>コウシンリレキ</t>
    </rPh>
    <phoneticPr fontId="2"/>
  </si>
  <si>
    <t>システム</t>
    <phoneticPr fontId="2"/>
  </si>
  <si>
    <t>No</t>
    <phoneticPr fontId="2"/>
  </si>
  <si>
    <t>理由・更新箇所</t>
    <rPh sb="0" eb="2">
      <t>リユウ</t>
    </rPh>
    <rPh sb="3" eb="7">
      <t>コウシンカショ</t>
    </rPh>
    <phoneticPr fontId="2"/>
  </si>
  <si>
    <t>シート名</t>
    <rPh sb="3" eb="4">
      <t>メイ</t>
    </rPh>
    <phoneticPr fontId="2"/>
  </si>
  <si>
    <t>新規作成</t>
    <rPh sb="0" eb="2">
      <t>シンキ</t>
    </rPh>
    <rPh sb="2" eb="4">
      <t>サクセイ</t>
    </rPh>
    <phoneticPr fontId="2"/>
  </si>
  <si>
    <t>機能定義</t>
    <rPh sb="0" eb="4">
      <t>キノウテイギ</t>
    </rPh>
    <phoneticPr fontId="2"/>
  </si>
  <si>
    <t>画面設計</t>
    <rPh sb="0" eb="4">
      <t>ガメンセッケイ</t>
    </rPh>
    <phoneticPr fontId="2"/>
  </si>
  <si>
    <t>チェック設計</t>
    <rPh sb="4" eb="6">
      <t>セッケイ</t>
    </rPh>
    <phoneticPr fontId="2"/>
  </si>
  <si>
    <t>ER図</t>
    <rPh sb="2" eb="3">
      <t>ズ</t>
    </rPh>
    <phoneticPr fontId="2"/>
  </si>
  <si>
    <t>テーブル設計</t>
    <rPh sb="4" eb="6">
      <t>セッケイ</t>
    </rPh>
    <phoneticPr fontId="2"/>
  </si>
  <si>
    <t>機能名</t>
    <rPh sb="0" eb="3">
      <t>キノウメイ</t>
    </rPh>
    <phoneticPr fontId="2"/>
  </si>
  <si>
    <t>概要</t>
    <rPh sb="0" eb="2">
      <t>ガイヨウ</t>
    </rPh>
    <phoneticPr fontId="2"/>
  </si>
  <si>
    <t>■処理内容</t>
    <rPh sb="1" eb="3">
      <t>ショリ</t>
    </rPh>
    <rPh sb="3" eb="5">
      <t>ナイヨウ</t>
    </rPh>
    <phoneticPr fontId="2"/>
  </si>
  <si>
    <t>論理名</t>
    <rPh sb="0" eb="3">
      <t>ロンリメイ</t>
    </rPh>
    <phoneticPr fontId="2"/>
  </si>
  <si>
    <t>物理名</t>
    <rPh sb="0" eb="3">
      <t>ブツリメイ</t>
    </rPh>
    <phoneticPr fontId="2"/>
  </si>
  <si>
    <t>必須</t>
    <rPh sb="0" eb="2">
      <t>ヒッス</t>
    </rPh>
    <phoneticPr fontId="2"/>
  </si>
  <si>
    <t>型</t>
    <rPh sb="0" eb="1">
      <t>カタ</t>
    </rPh>
    <phoneticPr fontId="2"/>
  </si>
  <si>
    <t>桁数</t>
    <rPh sb="0" eb="2">
      <t>ケタスウ</t>
    </rPh>
    <phoneticPr fontId="2"/>
  </si>
  <si>
    <t>桁</t>
    <rPh sb="0" eb="1">
      <t>ケタ</t>
    </rPh>
    <phoneticPr fontId="2"/>
  </si>
  <si>
    <t>備考</t>
    <rPh sb="0" eb="2">
      <t>ビコウ</t>
    </rPh>
    <phoneticPr fontId="2"/>
  </si>
  <si>
    <t>階層</t>
    <rPh sb="0" eb="2">
      <t>カイソウ</t>
    </rPh>
    <phoneticPr fontId="2"/>
  </si>
  <si>
    <t>■INPUT</t>
    <phoneticPr fontId="2"/>
  </si>
  <si>
    <t>■OUTPUT</t>
    <phoneticPr fontId="2"/>
  </si>
  <si>
    <t>title</t>
    <phoneticPr fontId="2"/>
  </si>
  <si>
    <t>id</t>
    <phoneticPr fontId="2"/>
  </si>
  <si>
    <t>String</t>
    <phoneticPr fontId="2"/>
  </si>
  <si>
    <t>Integer</t>
    <phoneticPr fontId="2"/>
  </si>
  <si>
    <t>○</t>
    <phoneticPr fontId="2"/>
  </si>
  <si>
    <t>-</t>
    <phoneticPr fontId="2"/>
  </si>
  <si>
    <t>画面名</t>
    <rPh sb="0" eb="3">
      <t>ガメンメイ</t>
    </rPh>
    <phoneticPr fontId="2"/>
  </si>
  <si>
    <t>■画面レイアウト</t>
    <rPh sb="1" eb="3">
      <t>ガメン</t>
    </rPh>
    <phoneticPr fontId="2"/>
  </si>
  <si>
    <t>項目名</t>
    <rPh sb="0" eb="3">
      <t>コウモクメイ</t>
    </rPh>
    <phoneticPr fontId="2"/>
  </si>
  <si>
    <t>種別</t>
    <rPh sb="0" eb="2">
      <t>シュベツ</t>
    </rPh>
    <phoneticPr fontId="2"/>
  </si>
  <si>
    <t>初期表示</t>
    <rPh sb="0" eb="4">
      <t>ショキヒョウジ</t>
    </rPh>
    <phoneticPr fontId="2"/>
  </si>
  <si>
    <t>動作</t>
    <rPh sb="0" eb="2">
      <t>ドウサ</t>
    </rPh>
    <phoneticPr fontId="2"/>
  </si>
  <si>
    <t>入力制御</t>
    <rPh sb="0" eb="4">
      <t>ニュウリョクセイギョ</t>
    </rPh>
    <phoneticPr fontId="2"/>
  </si>
  <si>
    <t>テキスト入力</t>
    <rPh sb="4" eb="6">
      <t>ニュウリョク</t>
    </rPh>
    <phoneticPr fontId="2"/>
  </si>
  <si>
    <t>テキスト表示</t>
    <rPh sb="4" eb="6">
      <t>ヒョウジ</t>
    </rPh>
    <phoneticPr fontId="2"/>
  </si>
  <si>
    <t>1</t>
    <phoneticPr fontId="2"/>
  </si>
  <si>
    <t>2</t>
    <phoneticPr fontId="2"/>
  </si>
  <si>
    <t>3</t>
    <phoneticPr fontId="2"/>
  </si>
  <si>
    <t>4</t>
    <phoneticPr fontId="2"/>
  </si>
  <si>
    <t>入力メッセージ</t>
    <rPh sb="0" eb="2">
      <t>ニュウリョク</t>
    </rPh>
    <phoneticPr fontId="2"/>
  </si>
  <si>
    <t>機能/画面</t>
    <rPh sb="0" eb="2">
      <t>キノウ</t>
    </rPh>
    <rPh sb="3" eb="5">
      <t>ガメン</t>
    </rPh>
    <phoneticPr fontId="2"/>
  </si>
  <si>
    <t>チェック内容</t>
    <rPh sb="4" eb="6">
      <t>ナイヨウ</t>
    </rPh>
    <phoneticPr fontId="2"/>
  </si>
  <si>
    <t>チェック項目</t>
    <rPh sb="4" eb="6">
      <t>コウモク</t>
    </rPh>
    <phoneticPr fontId="2"/>
  </si>
  <si>
    <t>メッセージ/処理内容</t>
    <rPh sb="6" eb="8">
      <t>ショリ</t>
    </rPh>
    <rPh sb="8" eb="10">
      <t>ナイヨウ</t>
    </rPh>
    <phoneticPr fontId="2"/>
  </si>
  <si>
    <t>「選択肢から入力してください。」と表示し再入力。</t>
    <rPh sb="1" eb="4">
      <t>センタクシ</t>
    </rPh>
    <rPh sb="6" eb="8">
      <t>ニュウリョク</t>
    </rPh>
    <rPh sb="17" eb="19">
      <t>ヒョウジ</t>
    </rPh>
    <rPh sb="20" eb="23">
      <t>サイニュウリョク</t>
    </rPh>
    <phoneticPr fontId="2"/>
  </si>
  <si>
    <t>「必須項目です。」と表示し再入力。</t>
    <rPh sb="1" eb="3">
      <t>ヒッス</t>
    </rPh>
    <rPh sb="3" eb="5">
      <t>コウモク</t>
    </rPh>
    <rPh sb="10" eb="12">
      <t>ヒョウジ</t>
    </rPh>
    <rPh sb="13" eb="16">
      <t>サイニュウリョク</t>
    </rPh>
    <phoneticPr fontId="2"/>
  </si>
  <si>
    <t>PK</t>
    <phoneticPr fontId="2"/>
  </si>
  <si>
    <t>id (PK)</t>
    <phoneticPr fontId="2"/>
  </si>
  <si>
    <t>テーブル</t>
    <phoneticPr fontId="2"/>
  </si>
  <si>
    <t>NN</t>
    <phoneticPr fontId="2"/>
  </si>
  <si>
    <t>制約名</t>
    <rPh sb="0" eb="3">
      <t>セイヤクメイ</t>
    </rPh>
    <phoneticPr fontId="2"/>
  </si>
  <si>
    <t>■カラム</t>
    <phoneticPr fontId="2"/>
  </si>
  <si>
    <t>初期値</t>
    <rPh sb="0" eb="3">
      <t>ショキチ</t>
    </rPh>
    <phoneticPr fontId="2"/>
  </si>
  <si>
    <t>AUTO_INCREMENT</t>
    <phoneticPr fontId="2"/>
  </si>
  <si>
    <t>integer</t>
    <phoneticPr fontId="2"/>
  </si>
  <si>
    <t>varchar</t>
    <phoneticPr fontId="2"/>
  </si>
  <si>
    <t>■ユニーク制約</t>
    <rPh sb="5" eb="7">
      <t>セイヤク</t>
    </rPh>
    <phoneticPr fontId="2"/>
  </si>
  <si>
    <t>■外部キー</t>
    <rPh sb="1" eb="3">
      <t>ガイブ</t>
    </rPh>
    <phoneticPr fontId="2"/>
  </si>
  <si>
    <t>参照先テーブル</t>
    <rPh sb="0" eb="3">
      <t>サンショウサキ</t>
    </rPh>
    <phoneticPr fontId="2"/>
  </si>
  <si>
    <t>オプション</t>
    <phoneticPr fontId="2"/>
  </si>
  <si>
    <t>カラムリスト</t>
    <phoneticPr fontId="2"/>
  </si>
  <si>
    <t>参照先カラムリスト</t>
    <rPh sb="0" eb="3">
      <t>サンショウサキ</t>
    </rPh>
    <phoneticPr fontId="2"/>
  </si>
  <si>
    <t>・検索結果を出力。</t>
    <rPh sb="1" eb="5">
      <t>ケンサクケッカ</t>
    </rPh>
    <rPh sb="6" eb="8">
      <t>シュツリョク</t>
    </rPh>
    <phoneticPr fontId="2"/>
  </si>
  <si>
    <t>画面名</t>
    <rPh sb="0" eb="2">
      <t>ガメン</t>
    </rPh>
    <rPh sb="2" eb="3">
      <t>メイ</t>
    </rPh>
    <phoneticPr fontId="2"/>
  </si>
  <si>
    <t>〔入力項目〕</t>
    <rPh sb="1" eb="3">
      <t>ニュウリョク</t>
    </rPh>
    <rPh sb="3" eb="5">
      <t>コウモク</t>
    </rPh>
    <phoneticPr fontId="2"/>
  </si>
  <si>
    <t>〔出力項目〕</t>
    <rPh sb="1" eb="3">
      <t>シュツリョク</t>
    </rPh>
    <rPh sb="3" eb="5">
      <t>コウモク</t>
    </rPh>
    <phoneticPr fontId="2"/>
  </si>
  <si>
    <t>荷物情報入力画面</t>
    <rPh sb="0" eb="2">
      <t>ニモツ</t>
    </rPh>
    <rPh sb="2" eb="4">
      <t>ジョウホウ</t>
    </rPh>
    <rPh sb="4" eb="6">
      <t>ニュウリョク</t>
    </rPh>
    <rPh sb="6" eb="8">
      <t>ガメン</t>
    </rPh>
    <phoneticPr fontId="2"/>
  </si>
  <si>
    <t>運送会社ID　入力後</t>
    <rPh sb="0" eb="4">
      <t>ウンソウガイシャ</t>
    </rPh>
    <rPh sb="7" eb="10">
      <t>ニュウリョクゴ</t>
    </rPh>
    <phoneticPr fontId="2"/>
  </si>
  <si>
    <t>運送会社ID　入力</t>
    <rPh sb="0" eb="4">
      <t>ウンソウガイシャ</t>
    </rPh>
    <rPh sb="7" eb="9">
      <t>ニュウリョク</t>
    </rPh>
    <phoneticPr fontId="2"/>
  </si>
  <si>
    <t>追跡番号</t>
    <rPh sb="0" eb="4">
      <t>ツイセキバンゴウ</t>
    </rPh>
    <phoneticPr fontId="2"/>
  </si>
  <si>
    <t>追跡番号　入力</t>
    <rPh sb="0" eb="4">
      <t>ツイセキバンゴウ</t>
    </rPh>
    <rPh sb="5" eb="7">
      <t>ニュウリョク</t>
    </rPh>
    <phoneticPr fontId="2"/>
  </si>
  <si>
    <t>照会したい荷物の情報を入力する画面。</t>
    <phoneticPr fontId="2"/>
  </si>
  <si>
    <t>「ID：運送会社名」のリスト</t>
    <rPh sb="4" eb="8">
      <t>ウンソウガイシャ</t>
    </rPh>
    <rPh sb="8" eb="9">
      <t>メイ</t>
    </rPh>
    <phoneticPr fontId="2"/>
  </si>
  <si>
    <t>運送会社ID</t>
    <rPh sb="0" eb="4">
      <t>ウンソウガイシャ</t>
    </rPh>
    <phoneticPr fontId="2"/>
  </si>
  <si>
    <t>荷物照会結果画面</t>
    <rPh sb="0" eb="2">
      <t>ニモツ</t>
    </rPh>
    <rPh sb="2" eb="6">
      <t>ショウカイケッカ</t>
    </rPh>
    <rPh sb="6" eb="8">
      <t>ガメン</t>
    </rPh>
    <phoneticPr fontId="2"/>
  </si>
  <si>
    <t>照会した荷物の情報を出力する画面。</t>
    <phoneticPr fontId="2"/>
  </si>
  <si>
    <t>運送会社選択肢</t>
    <rPh sb="0" eb="4">
      <t>ウンソウガイシャ</t>
    </rPh>
    <rPh sb="4" eb="7">
      <t>センタクシ</t>
    </rPh>
    <phoneticPr fontId="2"/>
  </si>
  <si>
    <t>運送会社名 - データ</t>
    <rPh sb="0" eb="4">
      <t>ウンソウカイシャ</t>
    </rPh>
    <rPh sb="4" eb="5">
      <t>メイ</t>
    </rPh>
    <phoneticPr fontId="2"/>
  </si>
  <si>
    <t>運送会社名 - ラベル</t>
    <rPh sb="0" eb="4">
      <t>ウンソウカイシャ</t>
    </rPh>
    <rPh sb="4" eb="5">
      <t>メイ</t>
    </rPh>
    <phoneticPr fontId="2"/>
  </si>
  <si>
    <t>追跡番号 - ラベル</t>
    <rPh sb="0" eb="4">
      <t>ツイセキバンゴウ</t>
    </rPh>
    <phoneticPr fontId="2"/>
  </si>
  <si>
    <t>追跡番号 - データ</t>
    <rPh sb="0" eb="4">
      <t>ツイセキバンゴウ</t>
    </rPh>
    <phoneticPr fontId="2"/>
  </si>
  <si>
    <t>配送ステータス - ラベル</t>
    <rPh sb="0" eb="2">
      <t>ハイソウ</t>
    </rPh>
    <phoneticPr fontId="2"/>
  </si>
  <si>
    <t>配送ステータス - データ</t>
    <rPh sb="0" eb="2">
      <t>ハイソウ</t>
    </rPh>
    <phoneticPr fontId="2"/>
  </si>
  <si>
    <t>メッセージ - ラベル</t>
    <phoneticPr fontId="2"/>
  </si>
  <si>
    <t>メッセージ - データ</t>
    <phoneticPr fontId="2"/>
  </si>
  <si>
    <t>荷物情報入力画面</t>
    <rPh sb="0" eb="4">
      <t>ニモツジョウホウ</t>
    </rPh>
    <rPh sb="4" eb="8">
      <t>ニュウリョクガメン</t>
    </rPh>
    <phoneticPr fontId="2"/>
  </si>
  <si>
    <t>未入力</t>
    <rPh sb="0" eb="3">
      <t>ミニュウリョク</t>
    </rPh>
    <phoneticPr fontId="2"/>
  </si>
  <si>
    <t>数字以外の入力</t>
    <rPh sb="0" eb="2">
      <t>スウジ</t>
    </rPh>
    <rPh sb="2" eb="4">
      <t>イガイ</t>
    </rPh>
    <rPh sb="5" eb="7">
      <t>ニュウリョク</t>
    </rPh>
    <phoneticPr fontId="2"/>
  </si>
  <si>
    <t>選択肢以外の入力</t>
    <rPh sb="0" eb="3">
      <t>センタクシ</t>
    </rPh>
    <rPh sb="3" eb="5">
      <t>イガイ</t>
    </rPh>
    <rPh sb="6" eb="8">
      <t>ニュウリョク</t>
    </rPh>
    <phoneticPr fontId="2"/>
  </si>
  <si>
    <t>追跡番号</t>
    <rPh sb="0" eb="2">
      <t>ツイセキ</t>
    </rPh>
    <rPh sb="2" eb="4">
      <t>バンゴウ</t>
    </rPh>
    <phoneticPr fontId="2"/>
  </si>
  <si>
    <t>「数字で入力してください。」と表示し再入力。</t>
    <rPh sb="1" eb="3">
      <t>スウジ</t>
    </rPh>
    <rPh sb="4" eb="6">
      <t>ニュウリョク</t>
    </rPh>
    <rPh sb="15" eb="17">
      <t>ヒョウジ</t>
    </rPh>
    <rPh sb="18" eb="21">
      <t>サイニュウリョク</t>
    </rPh>
    <phoneticPr fontId="2"/>
  </si>
  <si>
    <t>荷物照会機能（佐原急便）</t>
    <rPh sb="0" eb="4">
      <t>ニモツショウカイ</t>
    </rPh>
    <rPh sb="4" eb="6">
      <t>キノウ</t>
    </rPh>
    <rPh sb="7" eb="9">
      <t>サハラ</t>
    </rPh>
    <rPh sb="9" eb="11">
      <t>キュウビン</t>
    </rPh>
    <phoneticPr fontId="2"/>
  </si>
  <si>
    <t>5桁以外</t>
    <rPh sb="1" eb="2">
      <t>ケタ</t>
    </rPh>
    <rPh sb="2" eb="4">
      <t>イガイ</t>
    </rPh>
    <phoneticPr fontId="2"/>
  </si>
  <si>
    <t>荷物照会機能（ヤマモト運輸）</t>
    <rPh sb="0" eb="4">
      <t>ニモツショウカイ</t>
    </rPh>
    <rPh sb="4" eb="6">
      <t>キノウ</t>
    </rPh>
    <rPh sb="11" eb="13">
      <t>ウンユ</t>
    </rPh>
    <phoneticPr fontId="2"/>
  </si>
  <si>
    <t>7桁以外</t>
    <rPh sb="1" eb="2">
      <t>ケタ</t>
    </rPh>
    <rPh sb="2" eb="4">
      <t>イガイ</t>
    </rPh>
    <phoneticPr fontId="2"/>
  </si>
  <si>
    <t>荷物照会機能（日本ゆうゆう）</t>
    <rPh sb="0" eb="4">
      <t>ニモツショウカイ</t>
    </rPh>
    <rPh sb="4" eb="6">
      <t>キノウ</t>
    </rPh>
    <rPh sb="7" eb="9">
      <t>ニホン</t>
    </rPh>
    <phoneticPr fontId="2"/>
  </si>
  <si>
    <t>7桁数字以外</t>
    <rPh sb="1" eb="2">
      <t>ケタ</t>
    </rPh>
    <rPh sb="2" eb="4">
      <t>スウジ</t>
    </rPh>
    <rPh sb="4" eb="6">
      <t>イガイ</t>
    </rPh>
    <phoneticPr fontId="2"/>
  </si>
  <si>
    <t>「荷物が見つかりませんでした。」と表示。</t>
    <rPh sb="17" eb="19">
      <t>ヒョウジ</t>
    </rPh>
    <phoneticPr fontId="2"/>
  </si>
  <si>
    <t>追跡番号の該当データなし</t>
    <rPh sb="0" eb="4">
      <t>ツイセキバンゴウ</t>
    </rPh>
    <rPh sb="5" eb="7">
      <t>ガイトウ</t>
    </rPh>
    <phoneticPr fontId="2"/>
  </si>
  <si>
    <t>3</t>
  </si>
  <si>
    <t>4</t>
  </si>
  <si>
    <t>5</t>
  </si>
  <si>
    <t>6</t>
  </si>
  <si>
    <t>7</t>
  </si>
  <si>
    <t>8</t>
  </si>
  <si>
    <t>9</t>
  </si>
  <si>
    <t>10</t>
  </si>
  <si>
    <t>trackingCode</t>
    <phoneticPr fontId="2"/>
  </si>
  <si>
    <t>「追跡番号は7桁の数字で入力してください。」と表示。</t>
    <rPh sb="23" eb="25">
      <t>ヒョウジ</t>
    </rPh>
    <phoneticPr fontId="2"/>
  </si>
  <si>
    <t>「追跡番号は5桁の文字で入力してください。」と表示。</t>
    <rPh sb="23" eb="25">
      <t>ヒョウジ</t>
    </rPh>
    <phoneticPr fontId="2"/>
  </si>
  <si>
    <t>「追跡番号は7桁の文字で入力してください。」と表示。</t>
    <rPh sb="23" eb="25">
      <t>ヒョウジ</t>
    </rPh>
    <phoneticPr fontId="2"/>
  </si>
  <si>
    <t>追跡番号</t>
    <phoneticPr fontId="2"/>
  </si>
  <si>
    <t>deliveryStatus</t>
    <phoneticPr fontId="2"/>
  </si>
  <si>
    <t>荷物</t>
    <rPh sb="0" eb="2">
      <t>ニモツ</t>
    </rPh>
    <phoneticPr fontId="2"/>
  </si>
  <si>
    <t>baggage</t>
    <phoneticPr fontId="2"/>
  </si>
  <si>
    <t>運送会社ID</t>
    <phoneticPr fontId="2"/>
  </si>
  <si>
    <t>配送ステータス</t>
    <rPh sb="0" eb="2">
      <t>ハイソウ</t>
    </rPh>
    <phoneticPr fontId="2"/>
  </si>
  <si>
    <t>company</t>
    <phoneticPr fontId="2"/>
  </si>
  <si>
    <t>ID</t>
    <phoneticPr fontId="2"/>
  </si>
  <si>
    <t>運送会社</t>
    <rPh sb="0" eb="2">
      <t>ウンソウ</t>
    </rPh>
    <rPh sb="2" eb="4">
      <t>カイシャ</t>
    </rPh>
    <phoneticPr fontId="2"/>
  </si>
  <si>
    <t>会社名</t>
    <rPh sb="0" eb="2">
      <t>カイシャ</t>
    </rPh>
    <phoneticPr fontId="2"/>
  </si>
  <si>
    <t>companyId (PK)</t>
    <phoneticPr fontId="2"/>
  </si>
  <si>
    <t>データ取得</t>
    <rPh sb="3" eb="5">
      <t>シュトク</t>
    </rPh>
    <phoneticPr fontId="2"/>
  </si>
  <si>
    <t>画面遷移図</t>
    <rPh sb="0" eb="2">
      <t>ガメン</t>
    </rPh>
    <rPh sb="2" eb="5">
      <t>センイズ</t>
    </rPh>
    <phoneticPr fontId="2"/>
  </si>
  <si>
    <t>company_id</t>
    <phoneticPr fontId="2"/>
  </si>
  <si>
    <t>tracking_code</t>
    <phoneticPr fontId="2"/>
  </si>
  <si>
    <t>delivery_status</t>
    <phoneticPr fontId="2"/>
  </si>
  <si>
    <t>必須、選択肢のみ</t>
    <rPh sb="0" eb="2">
      <t>ヒッス</t>
    </rPh>
    <rPh sb="3" eb="6">
      <t>センタクシ</t>
    </rPh>
    <phoneticPr fontId="2"/>
  </si>
  <si>
    <t>各運送会社の仕様に基づくメッセージを表示（機能定義参照）</t>
    <rPh sb="0" eb="1">
      <t>カク</t>
    </rPh>
    <rPh sb="1" eb="5">
      <t>ウンソウガイシャ</t>
    </rPh>
    <rPh sb="6" eb="8">
      <t>シヨウ</t>
    </rPh>
    <rPh sb="9" eb="10">
      <t>モト</t>
    </rPh>
    <rPh sb="18" eb="20">
      <t>ヒョウジ</t>
    </rPh>
    <rPh sb="21" eb="25">
      <t>キノウテイギ</t>
    </rPh>
    <rPh sb="25" eb="27">
      <t>サンショウ</t>
    </rPh>
    <phoneticPr fontId="2"/>
  </si>
  <si>
    <t>荷物照会機能レスポンス.運送会社名</t>
    <rPh sb="0" eb="2">
      <t>ニモツ</t>
    </rPh>
    <rPh sb="2" eb="4">
      <t>ショウカイ</t>
    </rPh>
    <rPh sb="4" eb="6">
      <t>キノウ</t>
    </rPh>
    <phoneticPr fontId="2"/>
  </si>
  <si>
    <t>荷物照会機能レスポンス.追跡番号</t>
    <rPh sb="0" eb="2">
      <t>ニモツ</t>
    </rPh>
    <rPh sb="2" eb="4">
      <t>ショウカイ</t>
    </rPh>
    <rPh sb="4" eb="6">
      <t>キノウ</t>
    </rPh>
    <rPh sb="12" eb="14">
      <t>ツイセキ</t>
    </rPh>
    <rPh sb="14" eb="16">
      <t>バンゴウ</t>
    </rPh>
    <phoneticPr fontId="2"/>
  </si>
  <si>
    <t>荷物照会機能レスポンス.配送ステータス</t>
    <rPh sb="0" eb="2">
      <t>ニモツ</t>
    </rPh>
    <rPh sb="2" eb="4">
      <t>ショウカイ</t>
    </rPh>
    <rPh sb="4" eb="6">
      <t>キノウ</t>
    </rPh>
    <rPh sb="12" eb="14">
      <t>ハイソウ</t>
    </rPh>
    <phoneticPr fontId="2"/>
  </si>
  <si>
    <t>荷物照会機能レスポンス.メッセージ</t>
    <rPh sb="0" eb="2">
      <t>ニモツ</t>
    </rPh>
    <rPh sb="2" eb="4">
      <t>ショウカイ</t>
    </rPh>
    <rPh sb="4" eb="6">
      <t>キノウ</t>
    </rPh>
    <phoneticPr fontId="2"/>
  </si>
  <si>
    <t>ReqInquiry</t>
    <phoneticPr fontId="2"/>
  </si>
  <si>
    <t>ResInquiry</t>
    <phoneticPr fontId="2"/>
  </si>
  <si>
    <t>外部I/F仕様</t>
    <rPh sb="0" eb="2">
      <t>ガイブ</t>
    </rPh>
    <rPh sb="5" eb="7">
      <t>シヨウ</t>
    </rPh>
    <phoneticPr fontId="2"/>
  </si>
  <si>
    <t>PREPARE:準備中、DELIVERY:配送中、FINISH:配達完了</t>
    <rPh sb="8" eb="11">
      <t>ジュンビチュウ</t>
    </rPh>
    <rPh sb="21" eb="24">
      <t>ハイソウチュウ</t>
    </rPh>
    <rPh sb="32" eb="34">
      <t>ハイタツ</t>
    </rPh>
    <rPh sb="34" eb="36">
      <t>カンリョウ</t>
    </rPh>
    <phoneticPr fontId="2"/>
  </si>
  <si>
    <t>enum</t>
    <phoneticPr fontId="2"/>
  </si>
  <si>
    <t>クラス名</t>
    <rPh sb="3" eb="4">
      <t>メイ</t>
    </rPh>
    <phoneticPr fontId="2"/>
  </si>
  <si>
    <t>スケジュール管理アプリ</t>
    <rPh sb="6" eb="8">
      <t>カンリ</t>
    </rPh>
    <phoneticPr fontId="2"/>
  </si>
  <si>
    <t>関谷</t>
    <rPh sb="0" eb="2">
      <t>セキヤ</t>
    </rPh>
    <phoneticPr fontId="2"/>
  </si>
  <si>
    <t>ユーザーID</t>
    <phoneticPr fontId="2"/>
  </si>
  <si>
    <t>userId</t>
    <phoneticPr fontId="2"/>
  </si>
  <si>
    <t>スケジュール一覧画面</t>
    <rPh sb="6" eb="8">
      <t>イチラン</t>
    </rPh>
    <rPh sb="8" eb="10">
      <t>ガメン</t>
    </rPh>
    <phoneticPr fontId="2"/>
  </si>
  <si>
    <t>ログイン画面</t>
    <rPh sb="4" eb="6">
      <t>ガメン</t>
    </rPh>
    <phoneticPr fontId="2"/>
  </si>
  <si>
    <t>アカウント作成とログインができるログイン画面を表示する。</t>
    <rPh sb="5" eb="7">
      <t>サクセイ</t>
    </rPh>
    <phoneticPr fontId="2"/>
  </si>
  <si>
    <t>・アカウント登録画面へ遷移するURLを配置。</t>
    <rPh sb="6" eb="10">
      <t>トウロクガメン</t>
    </rPh>
    <rPh sb="11" eb="13">
      <t>センイ</t>
    </rPh>
    <rPh sb="19" eb="21">
      <t>ハイチ</t>
    </rPh>
    <phoneticPr fontId="2"/>
  </si>
  <si>
    <t>・ログイン画面へ遷移するURLを配置。</t>
    <rPh sb="5" eb="7">
      <t>ガメン</t>
    </rPh>
    <rPh sb="8" eb="10">
      <t>センイ</t>
    </rPh>
    <rPh sb="16" eb="18">
      <t>ハイチ</t>
    </rPh>
    <phoneticPr fontId="2"/>
  </si>
  <si>
    <t>アカウント登録画面</t>
    <rPh sb="5" eb="7">
      <t>トウロク</t>
    </rPh>
    <rPh sb="7" eb="9">
      <t>ガメン</t>
    </rPh>
    <phoneticPr fontId="2"/>
  </si>
  <si>
    <t>・アカウントの登録をする。</t>
    <rPh sb="7" eb="9">
      <t>トウロク</t>
    </rPh>
    <phoneticPr fontId="2"/>
  </si>
  <si>
    <t>・ユーザID</t>
    <phoneticPr fontId="2"/>
  </si>
  <si>
    <t>・パスワード</t>
    <phoneticPr fontId="2"/>
  </si>
  <si>
    <t>・ログインをする。</t>
    <phoneticPr fontId="2"/>
  </si>
  <si>
    <t>アカウント登録機能</t>
    <rPh sb="5" eb="9">
      <t>トウロクキノウ</t>
    </rPh>
    <phoneticPr fontId="2"/>
  </si>
  <si>
    <t>パスワード</t>
    <phoneticPr fontId="2"/>
  </si>
  <si>
    <t>password</t>
    <phoneticPr fontId="2"/>
  </si>
  <si>
    <t>ニックネーム</t>
    <phoneticPr fontId="2"/>
  </si>
  <si>
    <t>nickname</t>
    <phoneticPr fontId="2"/>
  </si>
  <si>
    <t>ログイン機能</t>
    <rPh sb="4" eb="6">
      <t>キノウ</t>
    </rPh>
    <phoneticPr fontId="2"/>
  </si>
  <si>
    <t>・ニックネーム</t>
    <phoneticPr fontId="2"/>
  </si>
  <si>
    <t>ログイン画面を表示する。</t>
    <rPh sb="4" eb="6">
      <t>ガメン</t>
    </rPh>
    <rPh sb="7" eb="9">
      <t>ヒョウジ</t>
    </rPh>
    <phoneticPr fontId="2"/>
  </si>
  <si>
    <t>アカウント登録する画面を表示する。</t>
    <rPh sb="5" eb="7">
      <t>トウロク</t>
    </rPh>
    <rPh sb="9" eb="11">
      <t>ガメン</t>
    </rPh>
    <rPh sb="12" eb="14">
      <t>ヒョウジ</t>
    </rPh>
    <phoneticPr fontId="2"/>
  </si>
  <si>
    <t>アカウント登録機能</t>
    <rPh sb="5" eb="7">
      <t>トウロク</t>
    </rPh>
    <rPh sb="7" eb="9">
      <t>キノウ</t>
    </rPh>
    <phoneticPr fontId="2"/>
  </si>
  <si>
    <t>・入力されたユーザIDとパスワードをもとにユーザ情報を検索。</t>
    <rPh sb="1" eb="3">
      <t>ニュウリョク</t>
    </rPh>
    <rPh sb="24" eb="26">
      <t>ジョウホウ</t>
    </rPh>
    <rPh sb="27" eb="29">
      <t>ケンサク</t>
    </rPh>
    <phoneticPr fontId="2"/>
  </si>
  <si>
    <t>・ユーザが見つからなかった場合は、エラーメッセージを出力する。</t>
    <rPh sb="5" eb="6">
      <t>ミ</t>
    </rPh>
    <rPh sb="13" eb="15">
      <t>バアイ</t>
    </rPh>
    <rPh sb="26" eb="28">
      <t>シュツリョク</t>
    </rPh>
    <phoneticPr fontId="2"/>
  </si>
  <si>
    <t>・入力された以下の情報をユーザテーブルに登録する。</t>
    <rPh sb="1" eb="3">
      <t>ニュウリョク</t>
    </rPh>
    <rPh sb="6" eb="8">
      <t>イカ</t>
    </rPh>
    <rPh sb="9" eb="11">
      <t>ジョウホウ</t>
    </rPh>
    <rPh sb="20" eb="22">
      <t>トウロク</t>
    </rPh>
    <phoneticPr fontId="2"/>
  </si>
  <si>
    <t>・スケジュール一覧画面に遷移する。</t>
    <rPh sb="7" eb="11">
      <t>イチランガメン</t>
    </rPh>
    <rPh sb="12" eb="14">
      <t>センイ</t>
    </rPh>
    <phoneticPr fontId="2"/>
  </si>
  <si>
    <t>ログインする機能。</t>
    <phoneticPr fontId="2"/>
  </si>
  <si>
    <t>アカウント登録する機能。</t>
    <rPh sb="5" eb="7">
      <t>トウロク</t>
    </rPh>
    <rPh sb="9" eb="11">
      <t>キノウ</t>
    </rPh>
    <phoneticPr fontId="2"/>
  </si>
  <si>
    <t>・ユーザが見つかった場合は、スケジュール一覧画面に遷移する。</t>
    <rPh sb="5" eb="6">
      <t>ミ</t>
    </rPh>
    <rPh sb="10" eb="12">
      <t>バアイ</t>
    </rPh>
    <rPh sb="20" eb="24">
      <t>イチランガメン</t>
    </rPh>
    <rPh sb="25" eb="27">
      <t>センイ</t>
    </rPh>
    <phoneticPr fontId="2"/>
  </si>
  <si>
    <t>・ユーザIDに紐づくタスク情報をタスクテーブルから検索する。</t>
    <rPh sb="7" eb="8">
      <t>ヒモ</t>
    </rPh>
    <rPh sb="13" eb="15">
      <t>ジョウホウ</t>
    </rPh>
    <rPh sb="25" eb="27">
      <t>ケンサク</t>
    </rPh>
    <phoneticPr fontId="2"/>
  </si>
  <si>
    <t>タスク情報照会機能</t>
    <rPh sb="3" eb="5">
      <t>ジョウホウ</t>
    </rPh>
    <rPh sb="5" eb="7">
      <t>ショウカイ</t>
    </rPh>
    <rPh sb="7" eb="9">
      <t>キノウ</t>
    </rPh>
    <phoneticPr fontId="2"/>
  </si>
  <si>
    <t>ユーザIDに紐づくタスク情報を照会する機能。</t>
    <rPh sb="6" eb="7">
      <t>ヒモ</t>
    </rPh>
    <rPh sb="12" eb="14">
      <t>ジョウホウ</t>
    </rPh>
    <rPh sb="15" eb="17">
      <t>ショウカイ</t>
    </rPh>
    <rPh sb="19" eb="21">
      <t>キノウ</t>
    </rPh>
    <phoneticPr fontId="2"/>
  </si>
  <si>
    <t>・タスク名</t>
    <rPh sb="4" eb="5">
      <t>メイ</t>
    </rPh>
    <phoneticPr fontId="2"/>
  </si>
  <si>
    <t>・内容</t>
    <rPh sb="1" eb="3">
      <t>ナイヨウ</t>
    </rPh>
    <phoneticPr fontId="2"/>
  </si>
  <si>
    <t>・進行状況</t>
    <rPh sb="1" eb="5">
      <t>シンコウジョウキョウ</t>
    </rPh>
    <phoneticPr fontId="2"/>
  </si>
  <si>
    <t>・登録日時</t>
    <rPh sb="1" eb="5">
      <t>トウロクニチジ</t>
    </rPh>
    <phoneticPr fontId="2"/>
  </si>
  <si>
    <t>・更新日時</t>
    <rPh sb="1" eb="5">
      <t>コウシンニチジ</t>
    </rPh>
    <phoneticPr fontId="2"/>
  </si>
  <si>
    <t>タスク情報照会機能で取得したデータをスケジュール一覧画面に表示する。</t>
    <rPh sb="10" eb="12">
      <t>シュトク</t>
    </rPh>
    <rPh sb="24" eb="28">
      <t>イチランガメン</t>
    </rPh>
    <rPh sb="29" eb="31">
      <t>ヒョウジ</t>
    </rPh>
    <phoneticPr fontId="2"/>
  </si>
  <si>
    <t>・タスク情報照会機能で取得した情報を表示する。</t>
    <rPh sb="11" eb="13">
      <t>シュトク</t>
    </rPh>
    <rPh sb="15" eb="17">
      <t>ジョウホウ</t>
    </rPh>
    <rPh sb="18" eb="20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</si>
</sst>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sz val="26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4" xfId="0" applyFont="1" applyFill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4" fontId="1" fillId="0" borderId="18" xfId="0" applyNumberFormat="1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49" fontId="1" fillId="0" borderId="18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 wrapText="1"/>
    </xf>
    <xf numFmtId="49" fontId="1" fillId="0" borderId="19" xfId="0" applyNumberFormat="1" applyFont="1" applyBorder="1" applyAlignment="1">
      <alignment vertical="center" wrapText="1"/>
    </xf>
    <xf numFmtId="49" fontId="1" fillId="0" borderId="20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000"/>
      <color rgb="FFCCFFCC"/>
      <color rgb="FF5B9BD5"/>
      <color rgb="FFFFFFCC"/>
      <color rgb="FFFFCCCC"/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5</xdr:row>
      <xdr:rowOff>123825</xdr:rowOff>
    </xdr:from>
    <xdr:to>
      <xdr:col>9</xdr:col>
      <xdr:colOff>47625</xdr:colOff>
      <xdr:row>10</xdr:row>
      <xdr:rowOff>28575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4A8A695-D5DC-ACA9-F56A-D462CE95C48E}"/>
            </a:ext>
          </a:extLst>
        </xdr:cNvPr>
        <xdr:cNvSpPr/>
      </xdr:nvSpPr>
      <xdr:spPr>
        <a:xfrm>
          <a:off x="695325" y="981075"/>
          <a:ext cx="1838325" cy="762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ログイン画面</a:t>
          </a:r>
        </a:p>
      </xdr:txBody>
    </xdr:sp>
    <xdr:clientData/>
  </xdr:twoCellAnchor>
  <xdr:twoCellAnchor>
    <xdr:from>
      <xdr:col>12</xdr:col>
      <xdr:colOff>209550</xdr:colOff>
      <xdr:row>5</xdr:row>
      <xdr:rowOff>123825</xdr:rowOff>
    </xdr:from>
    <xdr:to>
      <xdr:col>19</xdr:col>
      <xdr:colOff>114300</xdr:colOff>
      <xdr:row>10</xdr:row>
      <xdr:rowOff>28575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588E995-6724-96A8-DE2F-84847889EA7B}"/>
            </a:ext>
          </a:extLst>
        </xdr:cNvPr>
        <xdr:cNvSpPr/>
      </xdr:nvSpPr>
      <xdr:spPr>
        <a:xfrm>
          <a:off x="3524250" y="981075"/>
          <a:ext cx="1838325" cy="762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スケジュール一覧画面</a:t>
          </a:r>
          <a:endParaRPr kumimoji="1" lang="en-US" altLang="ja-JP" sz="11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</xdr:col>
      <xdr:colOff>47625</xdr:colOff>
      <xdr:row>7</xdr:row>
      <xdr:rowOff>161925</xdr:rowOff>
    </xdr:from>
    <xdr:to>
      <xdr:col>12</xdr:col>
      <xdr:colOff>209550</xdr:colOff>
      <xdr:row>7</xdr:row>
      <xdr:rowOff>161925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6117AC8C-B226-D2DF-CCE7-B9327260250F}"/>
            </a:ext>
          </a:extLst>
        </xdr:cNvPr>
        <xdr:cNvCxnSpPr>
          <a:stCxn id="17" idx="3"/>
          <a:endCxn id="18" idx="1"/>
        </xdr:cNvCxnSpPr>
      </xdr:nvCxnSpPr>
      <xdr:spPr>
        <a:xfrm>
          <a:off x="2533650" y="13620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266700</xdr:colOff>
      <xdr:row>5</xdr:row>
      <xdr:rowOff>123825</xdr:rowOff>
    </xdr:from>
    <xdr:to>
      <xdr:col>29</xdr:col>
      <xdr:colOff>171450</xdr:colOff>
      <xdr:row>10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D03A667-F2CA-9467-9937-DEC9143481AD}"/>
            </a:ext>
          </a:extLst>
        </xdr:cNvPr>
        <xdr:cNvSpPr/>
      </xdr:nvSpPr>
      <xdr:spPr>
        <a:xfrm>
          <a:off x="6343650" y="981075"/>
          <a:ext cx="1838325" cy="762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タスク追加画面</a:t>
          </a:r>
        </a:p>
      </xdr:txBody>
    </xdr:sp>
    <xdr:clientData/>
  </xdr:twoCellAnchor>
  <xdr:twoCellAnchor>
    <xdr:from>
      <xdr:col>19</xdr:col>
      <xdr:colOff>114300</xdr:colOff>
      <xdr:row>7</xdr:row>
      <xdr:rowOff>161925</xdr:rowOff>
    </xdr:from>
    <xdr:to>
      <xdr:col>22</xdr:col>
      <xdr:colOff>266700</xdr:colOff>
      <xdr:row>7</xdr:row>
      <xdr:rowOff>161925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A65D1CD-42DD-F677-0E09-5AB16FED4863}"/>
            </a:ext>
          </a:extLst>
        </xdr:cNvPr>
        <xdr:cNvCxnSpPr>
          <a:stCxn id="18" idx="3"/>
          <a:endCxn id="3" idx="1"/>
        </xdr:cNvCxnSpPr>
      </xdr:nvCxnSpPr>
      <xdr:spPr>
        <a:xfrm>
          <a:off x="5362575" y="1362075"/>
          <a:ext cx="981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266700</xdr:colOff>
      <xdr:row>12</xdr:row>
      <xdr:rowOff>28575</xdr:rowOff>
    </xdr:from>
    <xdr:to>
      <xdr:col>29</xdr:col>
      <xdr:colOff>171450</xdr:colOff>
      <xdr:row>16</xdr:row>
      <xdr:rowOff>104775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7A224F2-DD41-F5DA-290F-2D2195D91BF8}"/>
            </a:ext>
          </a:extLst>
        </xdr:cNvPr>
        <xdr:cNvSpPr/>
      </xdr:nvSpPr>
      <xdr:spPr>
        <a:xfrm>
          <a:off x="6343650" y="2085975"/>
          <a:ext cx="1838325" cy="762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タスク編集画面</a:t>
          </a:r>
        </a:p>
      </xdr:txBody>
    </xdr:sp>
    <xdr:clientData/>
  </xdr:twoCellAnchor>
  <xdr:twoCellAnchor>
    <xdr:from>
      <xdr:col>22</xdr:col>
      <xdr:colOff>266700</xdr:colOff>
      <xdr:row>18</xdr:row>
      <xdr:rowOff>142875</xdr:rowOff>
    </xdr:from>
    <xdr:to>
      <xdr:col>29</xdr:col>
      <xdr:colOff>171450</xdr:colOff>
      <xdr:row>23</xdr:row>
      <xdr:rowOff>47625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CA315FA-258A-A05D-DF88-51121EBAFC1B}"/>
            </a:ext>
          </a:extLst>
        </xdr:cNvPr>
        <xdr:cNvSpPr/>
      </xdr:nvSpPr>
      <xdr:spPr>
        <a:xfrm>
          <a:off x="6343650" y="3228975"/>
          <a:ext cx="1838325" cy="762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タスク削除画面</a:t>
          </a:r>
        </a:p>
      </xdr:txBody>
    </xdr:sp>
    <xdr:clientData/>
  </xdr:twoCellAnchor>
  <xdr:twoCellAnchor>
    <xdr:from>
      <xdr:col>16</xdr:col>
      <xdr:colOff>23812</xdr:colOff>
      <xdr:row>10</xdr:row>
      <xdr:rowOff>28575</xdr:rowOff>
    </xdr:from>
    <xdr:to>
      <xdr:col>22</xdr:col>
      <xdr:colOff>266699</xdr:colOff>
      <xdr:row>14</xdr:row>
      <xdr:rowOff>66675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E6E3E9F6-BEC3-FB1F-B4E7-014F3B8A2F0C}"/>
            </a:ext>
          </a:extLst>
        </xdr:cNvPr>
        <xdr:cNvCxnSpPr>
          <a:stCxn id="18" idx="2"/>
          <a:endCxn id="9" idx="1"/>
        </xdr:cNvCxnSpPr>
      </xdr:nvCxnSpPr>
      <xdr:spPr>
        <a:xfrm rot="16200000" flipH="1">
          <a:off x="5031581" y="1154906"/>
          <a:ext cx="723900" cy="190023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</xdr:colOff>
      <xdr:row>10</xdr:row>
      <xdr:rowOff>28575</xdr:rowOff>
    </xdr:from>
    <xdr:to>
      <xdr:col>22</xdr:col>
      <xdr:colOff>266699</xdr:colOff>
      <xdr:row>21</xdr:row>
      <xdr:rowOff>9525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AB84A8AD-E9D7-1580-75AB-1EBCF64068DE}"/>
            </a:ext>
          </a:extLst>
        </xdr:cNvPr>
        <xdr:cNvCxnSpPr>
          <a:stCxn id="18" idx="2"/>
          <a:endCxn id="10" idx="1"/>
        </xdr:cNvCxnSpPr>
      </xdr:nvCxnSpPr>
      <xdr:spPr>
        <a:xfrm rot="16200000" flipH="1">
          <a:off x="4460081" y="1726406"/>
          <a:ext cx="1866900" cy="190023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12</xdr:row>
      <xdr:rowOff>9525</xdr:rowOff>
    </xdr:from>
    <xdr:to>
      <xdr:col>9</xdr:col>
      <xdr:colOff>47625</xdr:colOff>
      <xdr:row>16</xdr:row>
      <xdr:rowOff>85725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C30A18E2-B58C-6766-E3AB-E91A4ACFC0DB}"/>
            </a:ext>
          </a:extLst>
        </xdr:cNvPr>
        <xdr:cNvSpPr/>
      </xdr:nvSpPr>
      <xdr:spPr>
        <a:xfrm>
          <a:off x="695325" y="2066925"/>
          <a:ext cx="1838325" cy="762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アカウント登録画面</a:t>
          </a:r>
        </a:p>
      </xdr:txBody>
    </xdr:sp>
    <xdr:clientData/>
  </xdr:twoCellAnchor>
  <xdr:twoCellAnchor>
    <xdr:from>
      <xdr:col>5</xdr:col>
      <xdr:colOff>233363</xdr:colOff>
      <xdr:row>10</xdr:row>
      <xdr:rowOff>28575</xdr:rowOff>
    </xdr:from>
    <xdr:to>
      <xdr:col>5</xdr:col>
      <xdr:colOff>233363</xdr:colOff>
      <xdr:row>12</xdr:row>
      <xdr:rowOff>9525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CA7F131D-CE58-D35D-C249-5AF71AC4BD93}"/>
            </a:ext>
          </a:extLst>
        </xdr:cNvPr>
        <xdr:cNvCxnSpPr>
          <a:stCxn id="17" idx="2"/>
          <a:endCxn id="19" idx="0"/>
        </xdr:cNvCxnSpPr>
      </xdr:nvCxnSpPr>
      <xdr:spPr>
        <a:xfrm>
          <a:off x="1614488" y="1743075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7</xdr:row>
      <xdr:rowOff>161925</xdr:rowOff>
    </xdr:from>
    <xdr:to>
      <xdr:col>12</xdr:col>
      <xdr:colOff>209550</xdr:colOff>
      <xdr:row>14</xdr:row>
      <xdr:rowOff>47625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1088F7C6-637D-9BC1-72A3-3EECA680DAEF}"/>
            </a:ext>
          </a:extLst>
        </xdr:cNvPr>
        <xdr:cNvCxnSpPr>
          <a:stCxn id="19" idx="3"/>
          <a:endCxn id="18" idx="1"/>
        </xdr:cNvCxnSpPr>
      </xdr:nvCxnSpPr>
      <xdr:spPr>
        <a:xfrm flipV="1">
          <a:off x="2533650" y="1362075"/>
          <a:ext cx="990600" cy="10858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45</xdr:row>
      <xdr:rowOff>0</xdr:rowOff>
    </xdr:from>
    <xdr:to>
      <xdr:col>14</xdr:col>
      <xdr:colOff>95687</xdr:colOff>
      <xdr:row>56</xdr:row>
      <xdr:rowOff>263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8DE30ED1-7EB5-C0EF-9154-800D3437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7715250"/>
          <a:ext cx="3134162" cy="1886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14</xdr:col>
      <xdr:colOff>76635</xdr:colOff>
      <xdr:row>20</xdr:row>
      <xdr:rowOff>19268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889E7C6-2312-6A47-9B25-8B6C7F3E0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1543050"/>
          <a:ext cx="3115110" cy="15623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13</xdr:col>
      <xdr:colOff>229017</xdr:colOff>
      <xdr:row>28</xdr:row>
      <xdr:rowOff>133464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5CAD581-4612-4126-86E5-E42D0830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3600450"/>
          <a:ext cx="2991267" cy="8192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228600</xdr:colOff>
      <xdr:row>14</xdr:row>
      <xdr:rowOff>0</xdr:rowOff>
    </xdr:from>
    <xdr:to>
      <xdr:col>3</xdr:col>
      <xdr:colOff>123825</xdr:colOff>
      <xdr:row>15</xdr:row>
      <xdr:rowOff>123825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8A5EC865-D1DD-67C8-4F09-FDA001BFAB17}"/>
            </a:ext>
          </a:extLst>
        </xdr:cNvPr>
        <xdr:cNvSpPr/>
      </xdr:nvSpPr>
      <xdr:spPr>
        <a:xfrm>
          <a:off x="504825" y="2057400"/>
          <a:ext cx="447675" cy="295275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228600</xdr:colOff>
      <xdr:row>17</xdr:row>
      <xdr:rowOff>28575</xdr:rowOff>
    </xdr:from>
    <xdr:to>
      <xdr:col>3</xdr:col>
      <xdr:colOff>123825</xdr:colOff>
      <xdr:row>18</xdr:row>
      <xdr:rowOff>152400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29E5734-CE20-FFF9-25CA-1BD7DC459B85}"/>
            </a:ext>
          </a:extLst>
        </xdr:cNvPr>
        <xdr:cNvSpPr/>
      </xdr:nvSpPr>
      <xdr:spPr>
        <a:xfrm>
          <a:off x="504825" y="2600325"/>
          <a:ext cx="447675" cy="295275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228600</xdr:colOff>
      <xdr:row>11</xdr:row>
      <xdr:rowOff>47625</xdr:rowOff>
    </xdr:from>
    <xdr:to>
      <xdr:col>3</xdr:col>
      <xdr:colOff>123825</xdr:colOff>
      <xdr:row>13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673681FF-E83A-A93F-7145-DF5790ADF2CB}"/>
            </a:ext>
          </a:extLst>
        </xdr:cNvPr>
        <xdr:cNvSpPr/>
      </xdr:nvSpPr>
      <xdr:spPr>
        <a:xfrm>
          <a:off x="504825" y="1590675"/>
          <a:ext cx="447675" cy="295275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228600</xdr:colOff>
      <xdr:row>26</xdr:row>
      <xdr:rowOff>57150</xdr:rowOff>
    </xdr:from>
    <xdr:to>
      <xdr:col>3</xdr:col>
      <xdr:colOff>123825</xdr:colOff>
      <xdr:row>28</xdr:row>
      <xdr:rowOff>9525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A553576-AEF5-AE11-ADF1-302EF8E7BE1F}"/>
            </a:ext>
          </a:extLst>
        </xdr:cNvPr>
        <xdr:cNvSpPr/>
      </xdr:nvSpPr>
      <xdr:spPr>
        <a:xfrm>
          <a:off x="504825" y="4000500"/>
          <a:ext cx="447675" cy="295275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7</xdr:col>
      <xdr:colOff>95998</xdr:colOff>
      <xdr:row>46</xdr:row>
      <xdr:rowOff>130398</xdr:rowOff>
    </xdr:from>
    <xdr:ext cx="369979" cy="244029"/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056B3E19-B24F-4BE5-A559-661E7B9F3858}"/>
            </a:ext>
          </a:extLst>
        </xdr:cNvPr>
        <xdr:cNvSpPr/>
      </xdr:nvSpPr>
      <xdr:spPr>
        <a:xfrm>
          <a:off x="2029573" y="8017098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86473</xdr:colOff>
      <xdr:row>46</xdr:row>
      <xdr:rowOff>25623</xdr:rowOff>
    </xdr:from>
    <xdr:ext cx="369979" cy="244029"/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3B94A33-5693-47C2-A2F4-A99DD4E6E2CD}"/>
            </a:ext>
          </a:extLst>
        </xdr:cNvPr>
        <xdr:cNvSpPr/>
      </xdr:nvSpPr>
      <xdr:spPr>
        <a:xfrm>
          <a:off x="638923" y="7912323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7</xdr:col>
      <xdr:colOff>95998</xdr:colOff>
      <xdr:row>48</xdr:row>
      <xdr:rowOff>149448</xdr:rowOff>
    </xdr:from>
    <xdr:ext cx="369979" cy="244029"/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5372F78C-0F33-2CEB-F752-193D3D7FC5A8}"/>
            </a:ext>
          </a:extLst>
        </xdr:cNvPr>
        <xdr:cNvSpPr/>
      </xdr:nvSpPr>
      <xdr:spPr>
        <a:xfrm>
          <a:off x="2029573" y="8379048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86473</xdr:colOff>
      <xdr:row>48</xdr:row>
      <xdr:rowOff>44673</xdr:rowOff>
    </xdr:from>
    <xdr:ext cx="369979" cy="244029"/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A1573CB2-FFC6-F266-709C-B0F8166E4384}"/>
            </a:ext>
          </a:extLst>
        </xdr:cNvPr>
        <xdr:cNvSpPr/>
      </xdr:nvSpPr>
      <xdr:spPr>
        <a:xfrm>
          <a:off x="638923" y="8274273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9</xdr:col>
      <xdr:colOff>67423</xdr:colOff>
      <xdr:row>50</xdr:row>
      <xdr:rowOff>120873</xdr:rowOff>
    </xdr:from>
    <xdr:ext cx="369979" cy="244029"/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D66ED2B-8B8B-C66E-982A-C8D74BB63C9D}"/>
            </a:ext>
          </a:extLst>
        </xdr:cNvPr>
        <xdr:cNvSpPr/>
      </xdr:nvSpPr>
      <xdr:spPr>
        <a:xfrm>
          <a:off x="2553448" y="8693373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86473</xdr:colOff>
      <xdr:row>50</xdr:row>
      <xdr:rowOff>16098</xdr:rowOff>
    </xdr:from>
    <xdr:ext cx="369979" cy="244029"/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4A38625F-56ED-2F78-699B-9674A744DC59}"/>
            </a:ext>
          </a:extLst>
        </xdr:cNvPr>
        <xdr:cNvSpPr/>
      </xdr:nvSpPr>
      <xdr:spPr>
        <a:xfrm>
          <a:off x="638923" y="8588598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10</xdr:col>
      <xdr:colOff>76948</xdr:colOff>
      <xdr:row>52</xdr:row>
      <xdr:rowOff>139923</xdr:rowOff>
    </xdr:from>
    <xdr:ext cx="369979" cy="244029"/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8F8BA9AE-0708-4398-8C28-3928A7F21F8B}"/>
            </a:ext>
          </a:extLst>
        </xdr:cNvPr>
        <xdr:cNvSpPr/>
      </xdr:nvSpPr>
      <xdr:spPr>
        <a:xfrm>
          <a:off x="2839198" y="9055323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86473</xdr:colOff>
      <xdr:row>52</xdr:row>
      <xdr:rowOff>35148</xdr:rowOff>
    </xdr:from>
    <xdr:ext cx="369979" cy="244029"/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A668212-6125-B9C3-393C-A36C40524E2F}"/>
            </a:ext>
          </a:extLst>
        </xdr:cNvPr>
        <xdr:cNvSpPr/>
      </xdr:nvSpPr>
      <xdr:spPr>
        <a:xfrm>
          <a:off x="638923" y="8950548"/>
          <a:ext cx="369979" cy="244029"/>
        </a:xfrm>
        <a:prstGeom prst="rect">
          <a:avLst/>
        </a:prstGeom>
        <a:solidFill>
          <a:srgbClr val="5B9BD5">
            <a:alpha val="9098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23</xdr:row>
      <xdr:rowOff>85726</xdr:rowOff>
    </xdr:from>
    <xdr:to>
      <xdr:col>42</xdr:col>
      <xdr:colOff>209550</xdr:colOff>
      <xdr:row>28</xdr:row>
      <xdr:rowOff>114300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31C1BF2-C88B-05BC-4DFD-D800BC64DEBB}"/>
            </a:ext>
          </a:extLst>
        </xdr:cNvPr>
        <xdr:cNvSpPr/>
      </xdr:nvSpPr>
      <xdr:spPr>
        <a:xfrm>
          <a:off x="361950" y="4029076"/>
          <a:ext cx="11449050" cy="885824"/>
        </a:xfrm>
        <a:prstGeom prst="rect">
          <a:avLst/>
        </a:prstGeom>
        <a:solidFill>
          <a:srgbClr val="5B9BD5">
            <a:alpha val="83922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ユニーク制約と外部キーは研修では設計しなくてもよい</a:t>
          </a:r>
        </a:p>
      </xdr:txBody>
    </xdr:sp>
    <xdr:clientData/>
  </xdr:twoCellAnchor>
  <xdr:twoCellAnchor editAs="oneCell">
    <xdr:from>
      <xdr:col>1</xdr:col>
      <xdr:colOff>85725</xdr:colOff>
      <xdr:row>10</xdr:row>
      <xdr:rowOff>95251</xdr:rowOff>
    </xdr:from>
    <xdr:to>
      <xdr:col>42</xdr:col>
      <xdr:colOff>209550</xdr:colOff>
      <xdr:row>15</xdr:row>
      <xdr:rowOff>123825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B56089E-8A61-03E8-BED3-99C253ACF167}"/>
            </a:ext>
          </a:extLst>
        </xdr:cNvPr>
        <xdr:cNvSpPr/>
      </xdr:nvSpPr>
      <xdr:spPr>
        <a:xfrm>
          <a:off x="361950" y="1809751"/>
          <a:ext cx="11449050" cy="885824"/>
        </a:xfrm>
        <a:prstGeom prst="rect">
          <a:avLst/>
        </a:prstGeom>
        <a:solidFill>
          <a:srgbClr val="5B9BD5">
            <a:alpha val="83922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ユニーク制約と外部キーは研修では設計しなくてもよい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6</xdr:row>
      <xdr:rowOff>0</xdr:rowOff>
    </xdr:from>
    <xdr:to>
      <xdr:col>10</xdr:col>
      <xdr:colOff>257175</xdr:colOff>
      <xdr:row>6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9C43C9D-FC5E-1470-AAB0-2F6B1ABAC638}"/>
            </a:ext>
          </a:extLst>
        </xdr:cNvPr>
        <xdr:cNvCxnSpPr/>
      </xdr:nvCxnSpPr>
      <xdr:spPr>
        <a:xfrm>
          <a:off x="1952625" y="1028700"/>
          <a:ext cx="10668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22879</xdr:colOff>
      <xdr:row>5</xdr:row>
      <xdr:rowOff>60979</xdr:rowOff>
    </xdr:from>
    <xdr:to>
      <xdr:col>7</xdr:col>
      <xdr:colOff>142875</xdr:colOff>
      <xdr:row>6</xdr:row>
      <xdr:rowOff>114300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7E347ACF-8A93-F1F9-8021-1D9A6DE90E5D}"/>
            </a:ext>
          </a:extLst>
        </xdr:cNvPr>
        <xdr:cNvGrpSpPr/>
      </xdr:nvGrpSpPr>
      <xdr:grpSpPr>
        <a:xfrm>
          <a:off x="1956454" y="918229"/>
          <a:ext cx="119996" cy="224771"/>
          <a:chOff x="1965979" y="1623079"/>
          <a:chExt cx="119996" cy="224771"/>
        </a:xfrm>
      </xdr:grpSpPr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45B2A5BD-97BD-B964-0C72-200D275D4EA2}"/>
              </a:ext>
            </a:extLst>
          </xdr:cNvPr>
          <xdr:cNvCxnSpPr/>
        </xdr:nvCxnSpPr>
        <xdr:spPr>
          <a:xfrm>
            <a:off x="1965979" y="1623079"/>
            <a:ext cx="119996" cy="1199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71F9ECE1-1F9D-1596-D5E1-7F8EF4B49B92}"/>
              </a:ext>
            </a:extLst>
          </xdr:cNvPr>
          <xdr:cNvCxnSpPr/>
        </xdr:nvCxnSpPr>
        <xdr:spPr>
          <a:xfrm rot="5400000">
            <a:off x="1965979" y="1727854"/>
            <a:ext cx="119996" cy="1199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114300</xdr:colOff>
      <xdr:row>5</xdr:row>
      <xdr:rowOff>114300</xdr:rowOff>
    </xdr:from>
    <xdr:to>
      <xdr:col>7</xdr:col>
      <xdr:colOff>222300</xdr:colOff>
      <xdr:row>6</xdr:row>
      <xdr:rowOff>50850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82E87C60-D5A9-5CF3-2515-80194309351C}"/>
            </a:ext>
          </a:extLst>
        </xdr:cNvPr>
        <xdr:cNvSpPr/>
      </xdr:nvSpPr>
      <xdr:spPr>
        <a:xfrm>
          <a:off x="2047875" y="971550"/>
          <a:ext cx="108000" cy="108000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5</xdr:row>
      <xdr:rowOff>76200</xdr:rowOff>
    </xdr:from>
    <xdr:to>
      <xdr:col>10</xdr:col>
      <xdr:colOff>190500</xdr:colOff>
      <xdr:row>6</xdr:row>
      <xdr:rowOff>95250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5ECF6A10-EFC5-8F11-E9DC-639134D93F04}"/>
            </a:ext>
          </a:extLst>
        </xdr:cNvPr>
        <xdr:cNvCxnSpPr/>
      </xdr:nvCxnSpPr>
      <xdr:spPr>
        <a:xfrm>
          <a:off x="2952750" y="933450"/>
          <a:ext cx="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0647-8105-4F37-AA5F-778EEAA4F76A}">
  <sheetPr>
    <pageSetUpPr fitToPage="1"/>
  </sheetPr>
  <dimension ref="A1:AN36"/>
  <sheetViews>
    <sheetView showGridLines="0" view="pageBreakPreview" zoomScaleNormal="100" zoomScaleSheetLayoutView="100" workbookViewId="0"/>
  </sheetViews>
  <sheetFormatPr defaultColWidth="3.625" defaultRowHeight="13.5"/>
  <cols>
    <col min="1" max="16384" width="3.625" style="2"/>
  </cols>
  <sheetData>
    <row r="1" spans="1:40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3"/>
    </row>
    <row r="2" spans="1:40">
      <c r="A2" s="14"/>
      <c r="AN2" s="15"/>
    </row>
    <row r="3" spans="1:40">
      <c r="A3" s="14"/>
      <c r="AN3" s="15"/>
    </row>
    <row r="4" spans="1:40">
      <c r="A4" s="14"/>
      <c r="AN4" s="15"/>
    </row>
    <row r="5" spans="1:40">
      <c r="A5" s="14"/>
      <c r="AN5" s="15"/>
    </row>
    <row r="6" spans="1:40">
      <c r="A6" s="14"/>
      <c r="AN6" s="15"/>
    </row>
    <row r="7" spans="1:40">
      <c r="A7" s="14"/>
      <c r="AN7" s="15"/>
    </row>
    <row r="8" spans="1:40">
      <c r="A8" s="14"/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8"/>
      <c r="AN8" s="15"/>
    </row>
    <row r="9" spans="1:40">
      <c r="A9" s="14"/>
      <c r="G9" s="3"/>
      <c r="AH9" s="4"/>
      <c r="AN9" s="15"/>
    </row>
    <row r="10" spans="1:40" ht="30.75">
      <c r="A10" s="14"/>
      <c r="E10" s="5"/>
      <c r="F10" s="5"/>
      <c r="G10" s="29" t="s">
        <v>149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1"/>
      <c r="AI10" s="5"/>
      <c r="AJ10" s="5"/>
      <c r="AK10" s="5"/>
      <c r="AL10" s="5"/>
      <c r="AM10" s="5"/>
      <c r="AN10" s="15"/>
    </row>
    <row r="11" spans="1:40" ht="30.75">
      <c r="A11" s="14"/>
      <c r="E11" s="5"/>
      <c r="F11" s="5"/>
      <c r="G11" s="29" t="s">
        <v>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1"/>
      <c r="AI11" s="5"/>
      <c r="AJ11" s="5"/>
      <c r="AK11" s="5"/>
      <c r="AL11" s="5"/>
      <c r="AM11" s="5"/>
      <c r="AN11" s="15"/>
    </row>
    <row r="12" spans="1:40">
      <c r="A12" s="14"/>
      <c r="G12" s="3"/>
      <c r="AH12" s="4"/>
      <c r="AN12" s="15"/>
    </row>
    <row r="13" spans="1:40">
      <c r="A13" s="14"/>
      <c r="G13" s="3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8"/>
      <c r="AN13" s="15"/>
    </row>
    <row r="14" spans="1:40">
      <c r="A14" s="14"/>
      <c r="AN14" s="15"/>
    </row>
    <row r="15" spans="1:40">
      <c r="A15" s="14"/>
      <c r="AN15" s="15"/>
    </row>
    <row r="16" spans="1:40">
      <c r="A16" s="14"/>
      <c r="AN16" s="15"/>
    </row>
    <row r="17" spans="1:40">
      <c r="A17" s="14"/>
      <c r="AN17" s="15"/>
    </row>
    <row r="18" spans="1:40">
      <c r="A18" s="14"/>
      <c r="AN18" s="15"/>
    </row>
    <row r="19" spans="1:40">
      <c r="A19" s="14"/>
      <c r="AN19" s="15"/>
    </row>
    <row r="20" spans="1:40">
      <c r="A20" s="14"/>
      <c r="AN20" s="15"/>
    </row>
    <row r="21" spans="1:40">
      <c r="A21" s="14"/>
      <c r="K21" s="32" t="s">
        <v>3</v>
      </c>
      <c r="L21" s="32"/>
      <c r="M21" s="32"/>
      <c r="N21" s="32"/>
      <c r="O21" s="32" t="s">
        <v>2</v>
      </c>
      <c r="P21" s="32"/>
      <c r="Q21" s="32"/>
      <c r="R21" s="32"/>
      <c r="S21" s="32" t="s">
        <v>1</v>
      </c>
      <c r="T21" s="32"/>
      <c r="U21" s="32"/>
      <c r="V21" s="32"/>
      <c r="W21" s="32" t="s">
        <v>5</v>
      </c>
      <c r="X21" s="32"/>
      <c r="Y21" s="32"/>
      <c r="Z21" s="32"/>
      <c r="AA21" s="32" t="s">
        <v>4</v>
      </c>
      <c r="AB21" s="32"/>
      <c r="AC21" s="32"/>
      <c r="AD21" s="32"/>
      <c r="AN21" s="15"/>
    </row>
    <row r="22" spans="1:40" ht="27" customHeight="1">
      <c r="A22" s="14"/>
      <c r="K22" s="42" cm="1">
        <f t="array" ref="K22">IF(COUNTA(更新履歴!$D$5:$D$37)&gt;0,INDEX(更新履歴!$B:$B,ROW(更新履歴!$D$4)+COUNTA(更新履歴!$D$5:$D$37)),"")</f>
        <v>1</v>
      </c>
      <c r="L22" s="43"/>
      <c r="M22" s="43"/>
      <c r="N22" s="44"/>
      <c r="O22" s="39">
        <v>46040</v>
      </c>
      <c r="P22" s="40"/>
      <c r="Q22" s="40"/>
      <c r="R22" s="41"/>
      <c r="S22" s="33" t="s">
        <v>150</v>
      </c>
      <c r="T22" s="34"/>
      <c r="U22" s="34"/>
      <c r="V22" s="35"/>
      <c r="W22" s="39" t="str" cm="1">
        <f t="array" ref="W22">IF(COUNTA(更新履歴!$D$5:$D$37)&gt;1,INDEX(更新履歴!$D:$D,ROW(更新履歴!$D$4)+COUNTA(更新履歴!$D$5:$D$37)),"")</f>
        <v/>
      </c>
      <c r="X22" s="40"/>
      <c r="Y22" s="40"/>
      <c r="Z22" s="41"/>
      <c r="AA22" s="33" t="str" cm="1">
        <f t="array" ref="AA22">IF(COUNTA(更新履歴!$D$5:$D$37)&gt;1,INDEX(更新履歴!$H:$H,ROW(更新履歴!$D$4)+COUNTA(更新履歴!$D$5:$D$37)),"")</f>
        <v/>
      </c>
      <c r="AB22" s="34"/>
      <c r="AC22" s="34"/>
      <c r="AD22" s="35"/>
      <c r="AN22" s="15"/>
    </row>
    <row r="23" spans="1:40">
      <c r="A23" s="14"/>
      <c r="AN23" s="15"/>
    </row>
    <row r="24" spans="1:40">
      <c r="A24" s="14"/>
      <c r="AN24" s="15"/>
    </row>
    <row r="25" spans="1:40">
      <c r="A25" s="14"/>
      <c r="AN25" s="15"/>
    </row>
    <row r="26" spans="1:40">
      <c r="A26" s="14"/>
      <c r="AN26" s="15"/>
    </row>
    <row r="27" spans="1:40">
      <c r="A27" s="14"/>
      <c r="AN27" s="15"/>
    </row>
    <row r="28" spans="1:40">
      <c r="A28" s="14"/>
      <c r="AN28" s="15"/>
    </row>
    <row r="29" spans="1:40">
      <c r="A29" s="14"/>
      <c r="AN29" s="15"/>
    </row>
    <row r="30" spans="1:40">
      <c r="A30" s="14"/>
      <c r="AN30" s="15"/>
    </row>
    <row r="31" spans="1:40">
      <c r="A31" s="14"/>
      <c r="AN31" s="15"/>
    </row>
    <row r="32" spans="1:40">
      <c r="A32" s="14"/>
      <c r="AN32" s="15"/>
    </row>
    <row r="33" spans="1:40">
      <c r="A33" s="14"/>
      <c r="AN33" s="15"/>
    </row>
    <row r="34" spans="1:40">
      <c r="A34" s="14"/>
      <c r="AN34" s="15"/>
    </row>
    <row r="35" spans="1:40">
      <c r="A35" s="14"/>
      <c r="AN35" s="15"/>
    </row>
    <row r="36" spans="1:40" ht="14.25" thickBot="1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</row>
  </sheetData>
  <mergeCells count="14">
    <mergeCell ref="G8:AH8"/>
    <mergeCell ref="G10:AH10"/>
    <mergeCell ref="G11:AH11"/>
    <mergeCell ref="AA21:AD21"/>
    <mergeCell ref="AA22:AD22"/>
    <mergeCell ref="G13:AH13"/>
    <mergeCell ref="O21:R21"/>
    <mergeCell ref="O22:R22"/>
    <mergeCell ref="S21:V21"/>
    <mergeCell ref="S22:V22"/>
    <mergeCell ref="W21:Z21"/>
    <mergeCell ref="W22:Z22"/>
    <mergeCell ref="K21:N21"/>
    <mergeCell ref="K22:N22"/>
  </mergeCells>
  <phoneticPr fontId="2"/>
  <printOptions horizontalCentered="1"/>
  <pageMargins left="0.25" right="0.25" top="0.75" bottom="0.75" header="0.3" footer="0.3"/>
  <pageSetup paperSize="9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E983-CD17-4796-8BB6-02BFC748D908}">
  <sheetPr>
    <pageSetUpPr fitToPage="1"/>
  </sheetPr>
  <dimension ref="A1:AN38"/>
  <sheetViews>
    <sheetView showGridLines="0" view="pageBreakPreview" zoomScaleNormal="100" zoomScaleSheetLayoutView="100" workbookViewId="0">
      <pane ySplit="2" topLeftCell="A3" activePane="bottomLeft" state="frozen"/>
      <selection activeCell="A3" sqref="A3"/>
      <selection pane="bottomLeft" sqref="A1:D1"/>
    </sheetView>
  </sheetViews>
  <sheetFormatPr defaultColWidth="3.625" defaultRowHeight="13.5"/>
  <cols>
    <col min="1" max="16384" width="3.625" style="2"/>
  </cols>
  <sheetData>
    <row r="1" spans="1:40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20"/>
    </row>
    <row r="2" spans="1:40">
      <c r="A2" s="53" t="s">
        <v>0</v>
      </c>
      <c r="B2" s="32"/>
      <c r="C2" s="32"/>
      <c r="D2" s="32"/>
      <c r="E2" s="46" t="s">
        <v>6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2"/>
    </row>
    <row r="3" spans="1:40">
      <c r="A3" s="14"/>
      <c r="AN3" s="15"/>
    </row>
    <row r="4" spans="1:40">
      <c r="A4" s="14"/>
      <c r="B4" s="56" t="s">
        <v>3</v>
      </c>
      <c r="C4" s="57"/>
      <c r="D4" s="56" t="s">
        <v>5</v>
      </c>
      <c r="E4" s="58"/>
      <c r="F4" s="58"/>
      <c r="G4" s="57"/>
      <c r="H4" s="56" t="s">
        <v>4</v>
      </c>
      <c r="I4" s="58"/>
      <c r="J4" s="58"/>
      <c r="K4" s="57"/>
      <c r="L4" s="56" t="s">
        <v>9</v>
      </c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7"/>
      <c r="AN4" s="15"/>
    </row>
    <row r="5" spans="1:40">
      <c r="A5" s="14"/>
      <c r="B5" s="42">
        <v>1</v>
      </c>
      <c r="C5" s="44"/>
      <c r="D5" s="39">
        <v>46040</v>
      </c>
      <c r="E5" s="40"/>
      <c r="F5" s="40"/>
      <c r="G5" s="41"/>
      <c r="H5" s="39" t="s">
        <v>150</v>
      </c>
      <c r="I5" s="34"/>
      <c r="J5" s="34"/>
      <c r="K5" s="35"/>
      <c r="L5" s="48" t="s">
        <v>11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50"/>
      <c r="AN5" s="15"/>
    </row>
    <row r="6" spans="1:40">
      <c r="A6" s="14"/>
      <c r="B6" s="42"/>
      <c r="C6" s="44"/>
      <c r="D6" s="39"/>
      <c r="E6" s="40"/>
      <c r="F6" s="40"/>
      <c r="G6" s="41"/>
      <c r="H6" s="33"/>
      <c r="I6" s="34"/>
      <c r="J6" s="34"/>
      <c r="K6" s="35"/>
      <c r="L6" s="48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50"/>
      <c r="AN6" s="15"/>
    </row>
    <row r="7" spans="1:40">
      <c r="A7" s="14"/>
      <c r="B7" s="42"/>
      <c r="C7" s="44"/>
      <c r="D7" s="39"/>
      <c r="E7" s="40"/>
      <c r="F7" s="40"/>
      <c r="G7" s="41"/>
      <c r="H7" s="33"/>
      <c r="I7" s="34"/>
      <c r="J7" s="34"/>
      <c r="K7" s="35"/>
      <c r="L7" s="48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50"/>
      <c r="AN7" s="15"/>
    </row>
    <row r="8" spans="1:40">
      <c r="A8" s="14"/>
      <c r="B8" s="42"/>
      <c r="C8" s="44"/>
      <c r="D8" s="39"/>
      <c r="E8" s="40"/>
      <c r="F8" s="40"/>
      <c r="G8" s="41"/>
      <c r="H8" s="33"/>
      <c r="I8" s="34"/>
      <c r="J8" s="34"/>
      <c r="K8" s="35"/>
      <c r="L8" s="48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50"/>
      <c r="AN8" s="15"/>
    </row>
    <row r="9" spans="1:40">
      <c r="A9" s="14"/>
      <c r="B9" s="42"/>
      <c r="C9" s="44"/>
      <c r="D9" s="39"/>
      <c r="E9" s="40"/>
      <c r="F9" s="40"/>
      <c r="G9" s="41"/>
      <c r="H9" s="33"/>
      <c r="I9" s="34"/>
      <c r="J9" s="34"/>
      <c r="K9" s="35"/>
      <c r="L9" s="48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50"/>
      <c r="AN9" s="15"/>
    </row>
    <row r="10" spans="1:40">
      <c r="A10" s="14"/>
      <c r="B10" s="42"/>
      <c r="C10" s="44"/>
      <c r="D10" s="39"/>
      <c r="E10" s="40"/>
      <c r="F10" s="40"/>
      <c r="G10" s="41"/>
      <c r="H10" s="33"/>
      <c r="I10" s="34"/>
      <c r="J10" s="34"/>
      <c r="K10" s="35"/>
      <c r="L10" s="48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50"/>
      <c r="AN10" s="15"/>
    </row>
    <row r="11" spans="1:40">
      <c r="A11" s="14"/>
      <c r="B11" s="42"/>
      <c r="C11" s="44"/>
      <c r="D11" s="39"/>
      <c r="E11" s="40"/>
      <c r="F11" s="40"/>
      <c r="G11" s="41"/>
      <c r="H11" s="33"/>
      <c r="I11" s="34"/>
      <c r="J11" s="34"/>
      <c r="K11" s="35"/>
      <c r="L11" s="48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50"/>
      <c r="AN11" s="15"/>
    </row>
    <row r="12" spans="1:40">
      <c r="A12" s="14"/>
      <c r="B12" s="42"/>
      <c r="C12" s="44"/>
      <c r="D12" s="39"/>
      <c r="E12" s="40"/>
      <c r="F12" s="40"/>
      <c r="G12" s="41"/>
      <c r="H12" s="33"/>
      <c r="I12" s="34"/>
      <c r="J12" s="34"/>
      <c r="K12" s="35"/>
      <c r="L12" s="48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50"/>
      <c r="AN12" s="15"/>
    </row>
    <row r="13" spans="1:40">
      <c r="A13" s="14"/>
      <c r="B13" s="42"/>
      <c r="C13" s="44"/>
      <c r="D13" s="39"/>
      <c r="E13" s="40"/>
      <c r="F13" s="40"/>
      <c r="G13" s="41"/>
      <c r="H13" s="33"/>
      <c r="I13" s="34"/>
      <c r="J13" s="34"/>
      <c r="K13" s="35"/>
      <c r="L13" s="48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50"/>
      <c r="AN13" s="15"/>
    </row>
    <row r="14" spans="1:40">
      <c r="A14" s="14"/>
      <c r="B14" s="42"/>
      <c r="C14" s="44"/>
      <c r="D14" s="39"/>
      <c r="E14" s="40"/>
      <c r="F14" s="40"/>
      <c r="G14" s="41"/>
      <c r="H14" s="33"/>
      <c r="I14" s="34"/>
      <c r="J14" s="34"/>
      <c r="K14" s="35"/>
      <c r="L14" s="48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50"/>
      <c r="AN14" s="15"/>
    </row>
    <row r="15" spans="1:40">
      <c r="A15" s="14"/>
      <c r="B15" s="42"/>
      <c r="C15" s="44"/>
      <c r="D15" s="39"/>
      <c r="E15" s="40"/>
      <c r="F15" s="40"/>
      <c r="G15" s="41"/>
      <c r="H15" s="33"/>
      <c r="I15" s="34"/>
      <c r="J15" s="34"/>
      <c r="K15" s="35"/>
      <c r="L15" s="48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50"/>
      <c r="AN15" s="15"/>
    </row>
    <row r="16" spans="1:40">
      <c r="A16" s="14"/>
      <c r="B16" s="42"/>
      <c r="C16" s="44"/>
      <c r="D16" s="39"/>
      <c r="E16" s="40"/>
      <c r="F16" s="40"/>
      <c r="G16" s="41"/>
      <c r="H16" s="33"/>
      <c r="I16" s="34"/>
      <c r="J16" s="34"/>
      <c r="K16" s="35"/>
      <c r="L16" s="48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50"/>
      <c r="AN16" s="15"/>
    </row>
    <row r="17" spans="1:40">
      <c r="A17" s="14"/>
      <c r="B17" s="42"/>
      <c r="C17" s="44"/>
      <c r="D17" s="39"/>
      <c r="E17" s="40"/>
      <c r="F17" s="40"/>
      <c r="G17" s="41"/>
      <c r="H17" s="33"/>
      <c r="I17" s="34"/>
      <c r="J17" s="34"/>
      <c r="K17" s="35"/>
      <c r="L17" s="48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50"/>
      <c r="AN17" s="15"/>
    </row>
    <row r="18" spans="1:40">
      <c r="A18" s="14"/>
      <c r="B18" s="42"/>
      <c r="C18" s="44"/>
      <c r="D18" s="39"/>
      <c r="E18" s="40"/>
      <c r="F18" s="40"/>
      <c r="G18" s="41"/>
      <c r="H18" s="33"/>
      <c r="I18" s="34"/>
      <c r="J18" s="34"/>
      <c r="K18" s="35"/>
      <c r="L18" s="48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50"/>
      <c r="AN18" s="15"/>
    </row>
    <row r="19" spans="1:40">
      <c r="A19" s="14"/>
      <c r="B19" s="42"/>
      <c r="C19" s="44"/>
      <c r="D19" s="39"/>
      <c r="E19" s="40"/>
      <c r="F19" s="40"/>
      <c r="G19" s="41"/>
      <c r="H19" s="33"/>
      <c r="I19" s="34"/>
      <c r="J19" s="34"/>
      <c r="K19" s="35"/>
      <c r="L19" s="48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50"/>
      <c r="AN19" s="15"/>
    </row>
    <row r="20" spans="1:40">
      <c r="A20" s="14"/>
      <c r="B20" s="42"/>
      <c r="C20" s="44"/>
      <c r="D20" s="39"/>
      <c r="E20" s="40"/>
      <c r="F20" s="40"/>
      <c r="G20" s="41"/>
      <c r="H20" s="33"/>
      <c r="I20" s="34"/>
      <c r="J20" s="34"/>
      <c r="K20" s="35"/>
      <c r="L20" s="48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50"/>
      <c r="AN20" s="15"/>
    </row>
    <row r="21" spans="1:40">
      <c r="A21" s="14"/>
      <c r="B21" s="42"/>
      <c r="C21" s="44"/>
      <c r="D21" s="39"/>
      <c r="E21" s="40"/>
      <c r="F21" s="40"/>
      <c r="G21" s="41"/>
      <c r="H21" s="33"/>
      <c r="I21" s="34"/>
      <c r="J21" s="34"/>
      <c r="K21" s="35"/>
      <c r="L21" s="48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50"/>
      <c r="AN21" s="15"/>
    </row>
    <row r="22" spans="1:40">
      <c r="A22" s="14"/>
      <c r="B22" s="42"/>
      <c r="C22" s="44"/>
      <c r="D22" s="39"/>
      <c r="E22" s="40"/>
      <c r="F22" s="40"/>
      <c r="G22" s="41"/>
      <c r="H22" s="33"/>
      <c r="I22" s="34"/>
      <c r="J22" s="34"/>
      <c r="K22" s="35"/>
      <c r="L22" s="48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50"/>
      <c r="AN22" s="15"/>
    </row>
    <row r="23" spans="1:40">
      <c r="A23" s="14"/>
      <c r="B23" s="42"/>
      <c r="C23" s="44"/>
      <c r="D23" s="39"/>
      <c r="E23" s="40"/>
      <c r="F23" s="40"/>
      <c r="G23" s="41"/>
      <c r="H23" s="33"/>
      <c r="I23" s="34"/>
      <c r="J23" s="34"/>
      <c r="K23" s="35"/>
      <c r="L23" s="48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50"/>
      <c r="AN23" s="15"/>
    </row>
    <row r="24" spans="1:40">
      <c r="A24" s="14"/>
      <c r="B24" s="42"/>
      <c r="C24" s="44"/>
      <c r="D24" s="39"/>
      <c r="E24" s="40"/>
      <c r="F24" s="40"/>
      <c r="G24" s="41"/>
      <c r="H24" s="33"/>
      <c r="I24" s="34"/>
      <c r="J24" s="34"/>
      <c r="K24" s="35"/>
      <c r="L24" s="48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50"/>
      <c r="AN24" s="15"/>
    </row>
    <row r="25" spans="1:40">
      <c r="A25" s="14"/>
      <c r="B25" s="42"/>
      <c r="C25" s="44"/>
      <c r="D25" s="39"/>
      <c r="E25" s="40"/>
      <c r="F25" s="40"/>
      <c r="G25" s="41"/>
      <c r="H25" s="33"/>
      <c r="I25" s="34"/>
      <c r="J25" s="34"/>
      <c r="K25" s="35"/>
      <c r="L25" s="48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50"/>
      <c r="AN25" s="15"/>
    </row>
    <row r="26" spans="1:40">
      <c r="A26" s="14"/>
      <c r="B26" s="42"/>
      <c r="C26" s="44"/>
      <c r="D26" s="39"/>
      <c r="E26" s="40"/>
      <c r="F26" s="40"/>
      <c r="G26" s="41"/>
      <c r="H26" s="33"/>
      <c r="I26" s="34"/>
      <c r="J26" s="34"/>
      <c r="K26" s="35"/>
      <c r="L26" s="48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50"/>
      <c r="AN26" s="15"/>
    </row>
    <row r="27" spans="1:40">
      <c r="A27" s="14"/>
      <c r="B27" s="42"/>
      <c r="C27" s="44"/>
      <c r="D27" s="39"/>
      <c r="E27" s="40"/>
      <c r="F27" s="40"/>
      <c r="G27" s="41"/>
      <c r="H27" s="33"/>
      <c r="I27" s="34"/>
      <c r="J27" s="34"/>
      <c r="K27" s="35"/>
      <c r="L27" s="48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50"/>
      <c r="AN27" s="15"/>
    </row>
    <row r="28" spans="1:40">
      <c r="A28" s="14"/>
      <c r="B28" s="42"/>
      <c r="C28" s="44"/>
      <c r="D28" s="39"/>
      <c r="E28" s="40"/>
      <c r="F28" s="40"/>
      <c r="G28" s="41"/>
      <c r="H28" s="33"/>
      <c r="I28" s="34"/>
      <c r="J28" s="34"/>
      <c r="K28" s="35"/>
      <c r="L28" s="48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50"/>
      <c r="AN28" s="15"/>
    </row>
    <row r="29" spans="1:40">
      <c r="A29" s="14"/>
      <c r="B29" s="42"/>
      <c r="C29" s="44"/>
      <c r="D29" s="39"/>
      <c r="E29" s="40"/>
      <c r="F29" s="40"/>
      <c r="G29" s="41"/>
      <c r="H29" s="33"/>
      <c r="I29" s="34"/>
      <c r="J29" s="34"/>
      <c r="K29" s="35"/>
      <c r="L29" s="48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50"/>
      <c r="AN29" s="15"/>
    </row>
    <row r="30" spans="1:40">
      <c r="A30" s="14"/>
      <c r="B30" s="42"/>
      <c r="C30" s="44"/>
      <c r="D30" s="39"/>
      <c r="E30" s="40"/>
      <c r="F30" s="40"/>
      <c r="G30" s="41"/>
      <c r="H30" s="33"/>
      <c r="I30" s="34"/>
      <c r="J30" s="34"/>
      <c r="K30" s="35"/>
      <c r="L30" s="48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50"/>
      <c r="AN30" s="15"/>
    </row>
    <row r="31" spans="1:40">
      <c r="A31" s="14"/>
      <c r="B31" s="42"/>
      <c r="C31" s="44"/>
      <c r="D31" s="39"/>
      <c r="E31" s="40"/>
      <c r="F31" s="40"/>
      <c r="G31" s="41"/>
      <c r="H31" s="33"/>
      <c r="I31" s="34"/>
      <c r="J31" s="34"/>
      <c r="K31" s="35"/>
      <c r="L31" s="48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50"/>
      <c r="AN31" s="15"/>
    </row>
    <row r="32" spans="1:40">
      <c r="A32" s="14"/>
      <c r="B32" s="42"/>
      <c r="C32" s="44"/>
      <c r="D32" s="39"/>
      <c r="E32" s="40"/>
      <c r="F32" s="40"/>
      <c r="G32" s="41"/>
      <c r="H32" s="33"/>
      <c r="I32" s="34"/>
      <c r="J32" s="34"/>
      <c r="K32" s="35"/>
      <c r="L32" s="48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50"/>
      <c r="AN32" s="15"/>
    </row>
    <row r="33" spans="1:40">
      <c r="A33" s="14"/>
      <c r="B33" s="42"/>
      <c r="C33" s="44"/>
      <c r="D33" s="39"/>
      <c r="E33" s="40"/>
      <c r="F33" s="40"/>
      <c r="G33" s="41"/>
      <c r="H33" s="33"/>
      <c r="I33" s="34"/>
      <c r="J33" s="34"/>
      <c r="K33" s="35"/>
      <c r="L33" s="48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50"/>
      <c r="AN33" s="15"/>
    </row>
    <row r="34" spans="1:40">
      <c r="A34" s="14"/>
      <c r="B34" s="42"/>
      <c r="C34" s="44"/>
      <c r="D34" s="39"/>
      <c r="E34" s="40"/>
      <c r="F34" s="40"/>
      <c r="G34" s="41"/>
      <c r="H34" s="33"/>
      <c r="I34" s="34"/>
      <c r="J34" s="34"/>
      <c r="K34" s="35"/>
      <c r="L34" s="48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50"/>
      <c r="AN34" s="15"/>
    </row>
    <row r="35" spans="1:40">
      <c r="A35" s="14"/>
      <c r="B35" s="42"/>
      <c r="C35" s="44"/>
      <c r="D35" s="39"/>
      <c r="E35" s="40"/>
      <c r="F35" s="40"/>
      <c r="G35" s="41"/>
      <c r="H35" s="33"/>
      <c r="I35" s="34"/>
      <c r="J35" s="34"/>
      <c r="K35" s="35"/>
      <c r="L35" s="48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50"/>
      <c r="AN35" s="15"/>
    </row>
    <row r="36" spans="1:40">
      <c r="A36" s="14"/>
      <c r="B36" s="42"/>
      <c r="C36" s="44"/>
      <c r="D36" s="39"/>
      <c r="E36" s="40"/>
      <c r="F36" s="40"/>
      <c r="G36" s="41"/>
      <c r="H36" s="33"/>
      <c r="I36" s="34"/>
      <c r="J36" s="34"/>
      <c r="K36" s="35"/>
      <c r="L36" s="48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50"/>
      <c r="AN36" s="15"/>
    </row>
    <row r="37" spans="1:40">
      <c r="A37" s="14"/>
      <c r="B37" s="42"/>
      <c r="C37" s="44"/>
      <c r="D37" s="39"/>
      <c r="E37" s="40"/>
      <c r="F37" s="40"/>
      <c r="G37" s="41"/>
      <c r="H37" s="33"/>
      <c r="I37" s="34"/>
      <c r="J37" s="34"/>
      <c r="K37" s="35"/>
      <c r="L37" s="48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50"/>
      <c r="AN37" s="15"/>
    </row>
    <row r="38" spans="1:40" ht="14.25" thickBot="1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</row>
  </sheetData>
  <mergeCells count="150">
    <mergeCell ref="B33:C33"/>
    <mergeCell ref="H33:K33"/>
    <mergeCell ref="D33:G33"/>
    <mergeCell ref="L33:AM33"/>
    <mergeCell ref="B34:C34"/>
    <mergeCell ref="H34:K34"/>
    <mergeCell ref="D34:G34"/>
    <mergeCell ref="L34:AM34"/>
    <mergeCell ref="B31:C31"/>
    <mergeCell ref="H31:K31"/>
    <mergeCell ref="D31:G31"/>
    <mergeCell ref="L31:AM31"/>
    <mergeCell ref="B32:C32"/>
    <mergeCell ref="H32:K32"/>
    <mergeCell ref="D32:G32"/>
    <mergeCell ref="L32:AM32"/>
    <mergeCell ref="B37:C37"/>
    <mergeCell ref="H37:K37"/>
    <mergeCell ref="D37:G37"/>
    <mergeCell ref="L37:AM37"/>
    <mergeCell ref="B35:C35"/>
    <mergeCell ref="H35:K35"/>
    <mergeCell ref="D35:G35"/>
    <mergeCell ref="L35:AM35"/>
    <mergeCell ref="B36:C36"/>
    <mergeCell ref="H36:K36"/>
    <mergeCell ref="D36:G36"/>
    <mergeCell ref="L36:AM36"/>
    <mergeCell ref="B29:C29"/>
    <mergeCell ref="H29:K29"/>
    <mergeCell ref="D29:G29"/>
    <mergeCell ref="L29:AM29"/>
    <mergeCell ref="B30:C30"/>
    <mergeCell ref="H30:K30"/>
    <mergeCell ref="D30:G30"/>
    <mergeCell ref="L30:AM30"/>
    <mergeCell ref="B27:C27"/>
    <mergeCell ref="H27:K27"/>
    <mergeCell ref="D27:G27"/>
    <mergeCell ref="L27:AM27"/>
    <mergeCell ref="B28:C28"/>
    <mergeCell ref="H28:K28"/>
    <mergeCell ref="D28:G28"/>
    <mergeCell ref="L28:AM28"/>
    <mergeCell ref="B25:C25"/>
    <mergeCell ref="H25:K25"/>
    <mergeCell ref="D25:G25"/>
    <mergeCell ref="L25:AM25"/>
    <mergeCell ref="B26:C26"/>
    <mergeCell ref="H26:K26"/>
    <mergeCell ref="D26:G26"/>
    <mergeCell ref="L26:AM26"/>
    <mergeCell ref="B23:C23"/>
    <mergeCell ref="H23:K23"/>
    <mergeCell ref="D23:G23"/>
    <mergeCell ref="L23:AM23"/>
    <mergeCell ref="B24:C24"/>
    <mergeCell ref="H24:K24"/>
    <mergeCell ref="D24:G24"/>
    <mergeCell ref="L24:AM24"/>
    <mergeCell ref="B21:C21"/>
    <mergeCell ref="H21:K21"/>
    <mergeCell ref="D21:G21"/>
    <mergeCell ref="L21:AM21"/>
    <mergeCell ref="B22:C22"/>
    <mergeCell ref="H22:K22"/>
    <mergeCell ref="D22:G22"/>
    <mergeCell ref="L22:AM22"/>
    <mergeCell ref="B19:C19"/>
    <mergeCell ref="H19:K19"/>
    <mergeCell ref="D19:G19"/>
    <mergeCell ref="L19:AM19"/>
    <mergeCell ref="B20:C20"/>
    <mergeCell ref="H20:K20"/>
    <mergeCell ref="D20:G20"/>
    <mergeCell ref="L20:AM20"/>
    <mergeCell ref="B17:C17"/>
    <mergeCell ref="H17:K17"/>
    <mergeCell ref="D17:G17"/>
    <mergeCell ref="L17:AM17"/>
    <mergeCell ref="B18:C18"/>
    <mergeCell ref="H18:K18"/>
    <mergeCell ref="D18:G18"/>
    <mergeCell ref="L18:AM18"/>
    <mergeCell ref="B15:C15"/>
    <mergeCell ref="H15:K15"/>
    <mergeCell ref="D15:G15"/>
    <mergeCell ref="L15:AM15"/>
    <mergeCell ref="B16:C16"/>
    <mergeCell ref="H16:K16"/>
    <mergeCell ref="D16:G16"/>
    <mergeCell ref="L16:AM16"/>
    <mergeCell ref="B13:C13"/>
    <mergeCell ref="H13:K13"/>
    <mergeCell ref="D13:G13"/>
    <mergeCell ref="L13:AM13"/>
    <mergeCell ref="B14:C14"/>
    <mergeCell ref="H14:K14"/>
    <mergeCell ref="D14:G14"/>
    <mergeCell ref="L14:AM14"/>
    <mergeCell ref="B11:C11"/>
    <mergeCell ref="H11:K11"/>
    <mergeCell ref="D11:G11"/>
    <mergeCell ref="L11:AM11"/>
    <mergeCell ref="B12:C12"/>
    <mergeCell ref="H12:K12"/>
    <mergeCell ref="D12:G12"/>
    <mergeCell ref="L12:AM12"/>
    <mergeCell ref="B10:C10"/>
    <mergeCell ref="H10:K10"/>
    <mergeCell ref="D10:G10"/>
    <mergeCell ref="L10:AM10"/>
    <mergeCell ref="B7:C7"/>
    <mergeCell ref="H7:K7"/>
    <mergeCell ref="D7:G7"/>
    <mergeCell ref="L7:AM7"/>
    <mergeCell ref="B8:C8"/>
    <mergeCell ref="H8:K8"/>
    <mergeCell ref="D8:G8"/>
    <mergeCell ref="L8:AM8"/>
    <mergeCell ref="B6:C6"/>
    <mergeCell ref="H6:K6"/>
    <mergeCell ref="D6:G6"/>
    <mergeCell ref="L6:AM6"/>
    <mergeCell ref="B4:C4"/>
    <mergeCell ref="H4:K4"/>
    <mergeCell ref="D4:G4"/>
    <mergeCell ref="L4:AM4"/>
    <mergeCell ref="B9:C9"/>
    <mergeCell ref="H9:K9"/>
    <mergeCell ref="D9:G9"/>
    <mergeCell ref="L9:AM9"/>
    <mergeCell ref="AG1:AJ1"/>
    <mergeCell ref="AC2:AF2"/>
    <mergeCell ref="AG2:AJ2"/>
    <mergeCell ref="E1:P1"/>
    <mergeCell ref="E2:P2"/>
    <mergeCell ref="B5:C5"/>
    <mergeCell ref="H5:K5"/>
    <mergeCell ref="D5:G5"/>
    <mergeCell ref="L5:AM5"/>
    <mergeCell ref="A1:D1"/>
    <mergeCell ref="A2:D2"/>
    <mergeCell ref="Q1:R2"/>
    <mergeCell ref="S1:T2"/>
    <mergeCell ref="U1:X1"/>
    <mergeCell ref="U2:X2"/>
    <mergeCell ref="Y1:AB1"/>
    <mergeCell ref="Y2:AB2"/>
    <mergeCell ref="AC1:AF1"/>
  </mergeCells>
  <phoneticPr fontId="2"/>
  <printOptions horizontalCentered="1"/>
  <pageMargins left="0.25" right="0.25" top="0.75" bottom="0.75" header="0.3" footer="0.3"/>
  <pageSetup paperSize="9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E767-EF60-47B6-A4FE-3FD03CEEA2C6}">
  <sheetPr>
    <pageSetUpPr fitToPage="1"/>
  </sheetPr>
  <dimension ref="A1:AN88"/>
  <sheetViews>
    <sheetView showGridLines="0" view="pageBreakPreview" zoomScaleNormal="100" zoomScaleSheetLayoutView="100" workbookViewId="0">
      <pane ySplit="2" topLeftCell="A3" activePane="bottomLeft" state="frozen"/>
      <selection activeCell="A3" sqref="A3"/>
      <selection pane="bottomLeft" sqref="A1:D1"/>
    </sheetView>
  </sheetViews>
  <sheetFormatPr defaultColWidth="3.625" defaultRowHeight="13.5"/>
  <cols>
    <col min="1" max="16384" width="3.625" style="2"/>
  </cols>
  <sheetData>
    <row r="1" spans="1:40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20"/>
    </row>
    <row r="2" spans="1:40">
      <c r="A2" s="53" t="s">
        <v>0</v>
      </c>
      <c r="B2" s="32"/>
      <c r="C2" s="32"/>
      <c r="D2" s="32"/>
      <c r="E2" s="46" t="s">
        <v>12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2"/>
    </row>
    <row r="3" spans="1:40">
      <c r="A3" s="14"/>
      <c r="AN3" s="15"/>
    </row>
    <row r="4" spans="1:40">
      <c r="A4" s="14"/>
      <c r="B4" s="63" t="s">
        <v>17</v>
      </c>
      <c r="C4" s="63"/>
      <c r="D4" s="63"/>
      <c r="E4" s="63"/>
      <c r="F4" s="62" t="s">
        <v>168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15"/>
    </row>
    <row r="5" spans="1:40">
      <c r="A5" s="14"/>
      <c r="B5" s="63" t="s">
        <v>18</v>
      </c>
      <c r="C5" s="63"/>
      <c r="D5" s="63"/>
      <c r="E5" s="63"/>
      <c r="F5" s="60" t="s">
        <v>177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15"/>
    </row>
    <row r="6" spans="1:40">
      <c r="A6" s="14"/>
      <c r="B6" s="63"/>
      <c r="C6" s="63"/>
      <c r="D6" s="63"/>
      <c r="E6" s="63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15"/>
    </row>
    <row r="7" spans="1:40">
      <c r="A7" s="14"/>
      <c r="B7" s="3"/>
      <c r="AM7" s="4"/>
      <c r="AN7" s="15"/>
    </row>
    <row r="8" spans="1:40">
      <c r="A8" s="14"/>
      <c r="B8" s="3"/>
      <c r="C8" s="2" t="s">
        <v>19</v>
      </c>
      <c r="AM8" s="4"/>
      <c r="AN8" s="15"/>
    </row>
    <row r="9" spans="1:40">
      <c r="A9" s="14"/>
      <c r="B9" s="3"/>
      <c r="AM9" s="4"/>
      <c r="AN9" s="15"/>
    </row>
    <row r="10" spans="1:40">
      <c r="A10" s="14"/>
      <c r="B10" s="3"/>
      <c r="D10" s="2" t="s">
        <v>173</v>
      </c>
      <c r="AM10" s="4"/>
      <c r="AN10" s="15"/>
    </row>
    <row r="11" spans="1:40">
      <c r="A11" s="14"/>
      <c r="B11" s="3"/>
      <c r="AM11" s="4"/>
      <c r="AN11" s="15"/>
    </row>
    <row r="12" spans="1:40">
      <c r="A12" s="14"/>
      <c r="B12" s="3"/>
      <c r="D12" s="2" t="s">
        <v>72</v>
      </c>
      <c r="AM12" s="4"/>
      <c r="AN12" s="15"/>
    </row>
    <row r="13" spans="1:40">
      <c r="A13" s="14"/>
      <c r="B13" s="3"/>
      <c r="E13" s="2" t="s">
        <v>174</v>
      </c>
      <c r="AM13" s="4"/>
      <c r="AN13" s="15"/>
    </row>
    <row r="14" spans="1:40">
      <c r="A14" s="14"/>
      <c r="B14" s="3"/>
      <c r="E14" s="2" t="s">
        <v>179</v>
      </c>
      <c r="AM14" s="4"/>
      <c r="AN14" s="15"/>
    </row>
    <row r="15" spans="1:40">
      <c r="A15" s="14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15"/>
    </row>
    <row r="16" spans="1:40">
      <c r="A16" s="14"/>
      <c r="AN16" s="15"/>
    </row>
    <row r="17" spans="1:40">
      <c r="A17" s="14"/>
      <c r="B17" s="63" t="s">
        <v>17</v>
      </c>
      <c r="C17" s="63"/>
      <c r="D17" s="63"/>
      <c r="E17" s="63"/>
      <c r="F17" s="62" t="s">
        <v>172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15"/>
    </row>
    <row r="18" spans="1:40">
      <c r="A18" s="14"/>
      <c r="B18" s="63" t="s">
        <v>18</v>
      </c>
      <c r="C18" s="63"/>
      <c r="D18" s="63"/>
      <c r="E18" s="63"/>
      <c r="F18" s="60" t="s">
        <v>178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15"/>
    </row>
    <row r="19" spans="1:40">
      <c r="A19" s="14"/>
      <c r="B19" s="63"/>
      <c r="C19" s="63"/>
      <c r="D19" s="63"/>
      <c r="E19" s="63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15"/>
    </row>
    <row r="20" spans="1:40">
      <c r="A20" s="14"/>
      <c r="B20" s="3"/>
      <c r="AM20" s="4"/>
      <c r="AN20" s="15"/>
    </row>
    <row r="21" spans="1:40">
      <c r="A21" s="14"/>
      <c r="B21" s="3"/>
      <c r="C21" s="2" t="s">
        <v>19</v>
      </c>
      <c r="AM21" s="4"/>
      <c r="AN21" s="15"/>
    </row>
    <row r="22" spans="1:40">
      <c r="A22" s="14"/>
      <c r="B22" s="3"/>
      <c r="AM22" s="4"/>
      <c r="AN22" s="15"/>
    </row>
    <row r="23" spans="1:40">
      <c r="A23" s="14"/>
      <c r="B23" s="3"/>
      <c r="D23" s="2" t="s">
        <v>175</v>
      </c>
      <c r="AM23" s="4"/>
      <c r="AN23" s="15"/>
    </row>
    <row r="24" spans="1:40">
      <c r="A24" s="14"/>
      <c r="B24" s="3"/>
      <c r="E24" s="2" t="s">
        <v>160</v>
      </c>
      <c r="AM24" s="4"/>
      <c r="AN24" s="15"/>
    </row>
    <row r="25" spans="1:40">
      <c r="A25" s="14"/>
      <c r="B25" s="3"/>
      <c r="E25" s="2" t="s">
        <v>161</v>
      </c>
      <c r="AM25" s="4"/>
      <c r="AN25" s="15"/>
    </row>
    <row r="26" spans="1:40">
      <c r="A26" s="14"/>
      <c r="B26" s="3"/>
      <c r="E26" s="2" t="s">
        <v>169</v>
      </c>
      <c r="AM26" s="4"/>
      <c r="AN26" s="15"/>
    </row>
    <row r="27" spans="1:40">
      <c r="A27" s="14"/>
      <c r="B27" s="3"/>
      <c r="AM27" s="4"/>
      <c r="AN27" s="15"/>
    </row>
    <row r="28" spans="1:40">
      <c r="A28" s="14"/>
      <c r="B28" s="3"/>
      <c r="D28" s="2" t="s">
        <v>176</v>
      </c>
      <c r="AM28" s="4"/>
      <c r="AN28" s="15"/>
    </row>
    <row r="29" spans="1:40">
      <c r="A29" s="14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15"/>
    </row>
    <row r="30" spans="1:40">
      <c r="A30" s="14"/>
      <c r="AN30" s="15"/>
    </row>
    <row r="31" spans="1:40">
      <c r="A31" s="14"/>
      <c r="B31" s="63" t="s">
        <v>17</v>
      </c>
      <c r="C31" s="63"/>
      <c r="D31" s="63"/>
      <c r="E31" s="63"/>
      <c r="F31" s="62" t="s">
        <v>181</v>
      </c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15"/>
    </row>
    <row r="32" spans="1:40">
      <c r="A32" s="14"/>
      <c r="B32" s="63" t="s">
        <v>18</v>
      </c>
      <c r="C32" s="63"/>
      <c r="D32" s="63"/>
      <c r="E32" s="63"/>
      <c r="F32" s="60" t="s">
        <v>182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15"/>
    </row>
    <row r="33" spans="1:40">
      <c r="A33" s="14"/>
      <c r="B33" s="63"/>
      <c r="C33" s="63"/>
      <c r="D33" s="63"/>
      <c r="E33" s="63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15"/>
    </row>
    <row r="34" spans="1:40">
      <c r="A34" s="14"/>
      <c r="B34" s="3"/>
      <c r="AM34" s="4"/>
      <c r="AN34" s="15"/>
    </row>
    <row r="35" spans="1:40">
      <c r="A35" s="14"/>
      <c r="B35" s="3"/>
      <c r="C35" s="2" t="s">
        <v>19</v>
      </c>
      <c r="AM35" s="4"/>
      <c r="AN35" s="15"/>
    </row>
    <row r="36" spans="1:40">
      <c r="A36" s="14"/>
      <c r="B36" s="3"/>
      <c r="AM36" s="4"/>
      <c r="AN36" s="15"/>
    </row>
    <row r="37" spans="1:40">
      <c r="A37" s="14"/>
      <c r="B37" s="3"/>
      <c r="D37" s="2" t="s">
        <v>180</v>
      </c>
      <c r="AM37" s="4"/>
      <c r="AN37" s="15"/>
    </row>
    <row r="38" spans="1:40">
      <c r="A38" s="14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15"/>
    </row>
    <row r="39" spans="1:40">
      <c r="A39" s="14"/>
      <c r="AN39" s="15"/>
    </row>
    <row r="40" spans="1:40">
      <c r="A40" s="14"/>
      <c r="B40" s="59" t="s">
        <v>73</v>
      </c>
      <c r="C40" s="59"/>
      <c r="D40" s="59"/>
      <c r="E40" s="59"/>
      <c r="F40" s="62" t="s">
        <v>154</v>
      </c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15"/>
    </row>
    <row r="41" spans="1:40">
      <c r="A41" s="14"/>
      <c r="B41" s="59" t="s">
        <v>18</v>
      </c>
      <c r="C41" s="59"/>
      <c r="D41" s="59"/>
      <c r="E41" s="59"/>
      <c r="F41" s="60" t="s">
        <v>155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15"/>
    </row>
    <row r="42" spans="1:40">
      <c r="A42" s="14"/>
      <c r="B42" s="59"/>
      <c r="C42" s="59"/>
      <c r="D42" s="59"/>
      <c r="E42" s="59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15"/>
    </row>
    <row r="43" spans="1:40">
      <c r="A43" s="14"/>
      <c r="B43" s="3"/>
      <c r="AM43" s="4"/>
      <c r="AN43" s="15"/>
    </row>
    <row r="44" spans="1:40">
      <c r="A44" s="14"/>
      <c r="B44" s="3"/>
      <c r="C44" s="2" t="s">
        <v>19</v>
      </c>
      <c r="AM44" s="4"/>
      <c r="AN44" s="15"/>
    </row>
    <row r="45" spans="1:40">
      <c r="A45" s="14"/>
      <c r="B45" s="3"/>
      <c r="AM45" s="4"/>
      <c r="AN45" s="15"/>
    </row>
    <row r="46" spans="1:40">
      <c r="A46" s="14"/>
      <c r="B46" s="3"/>
      <c r="D46" s="2" t="s">
        <v>156</v>
      </c>
      <c r="AM46" s="4"/>
      <c r="AN46" s="15"/>
    </row>
    <row r="47" spans="1:40">
      <c r="A47" s="14"/>
      <c r="B47" s="3"/>
      <c r="D47" s="2" t="s">
        <v>157</v>
      </c>
      <c r="AM47" s="4"/>
      <c r="AN47" s="15"/>
    </row>
    <row r="48" spans="1:40">
      <c r="A48" s="14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15"/>
    </row>
    <row r="49" spans="1:40">
      <c r="A49" s="14"/>
      <c r="AN49" s="15"/>
    </row>
    <row r="50" spans="1:40">
      <c r="A50" s="14"/>
      <c r="B50" s="59" t="s">
        <v>73</v>
      </c>
      <c r="C50" s="59"/>
      <c r="D50" s="59"/>
      <c r="E50" s="59"/>
      <c r="F50" s="62" t="s">
        <v>158</v>
      </c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15"/>
    </row>
    <row r="51" spans="1:40">
      <c r="A51" s="14"/>
      <c r="B51" s="59" t="s">
        <v>18</v>
      </c>
      <c r="C51" s="59"/>
      <c r="D51" s="59"/>
      <c r="E51" s="59"/>
      <c r="F51" s="60" t="s">
        <v>171</v>
      </c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15"/>
    </row>
    <row r="52" spans="1:40">
      <c r="A52" s="14"/>
      <c r="B52" s="59"/>
      <c r="C52" s="59"/>
      <c r="D52" s="59"/>
      <c r="E52" s="59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15"/>
    </row>
    <row r="53" spans="1:40">
      <c r="A53" s="14"/>
      <c r="B53" s="3"/>
      <c r="AM53" s="4"/>
      <c r="AN53" s="15"/>
    </row>
    <row r="54" spans="1:40">
      <c r="A54" s="14"/>
      <c r="B54" s="3"/>
      <c r="C54" s="2" t="s">
        <v>19</v>
      </c>
      <c r="AM54" s="4"/>
      <c r="AN54" s="15"/>
    </row>
    <row r="55" spans="1:40">
      <c r="A55" s="14"/>
      <c r="B55" s="3"/>
      <c r="AM55" s="4"/>
      <c r="AN55" s="15"/>
    </row>
    <row r="56" spans="1:40">
      <c r="A56" s="14"/>
      <c r="B56" s="3"/>
      <c r="D56" s="2" t="s">
        <v>159</v>
      </c>
      <c r="AM56" s="4"/>
      <c r="AN56" s="15"/>
    </row>
    <row r="57" spans="1:40">
      <c r="A57" s="14"/>
      <c r="B57" s="3"/>
      <c r="E57" s="2" t="s">
        <v>74</v>
      </c>
      <c r="AM57" s="4"/>
      <c r="AN57" s="15"/>
    </row>
    <row r="58" spans="1:40">
      <c r="A58" s="14"/>
      <c r="B58" s="3"/>
      <c r="E58" s="2" t="s">
        <v>160</v>
      </c>
      <c r="AM58" s="4"/>
      <c r="AN58" s="15"/>
    </row>
    <row r="59" spans="1:40">
      <c r="A59" s="14"/>
      <c r="B59" s="3"/>
      <c r="E59" s="2" t="s">
        <v>161</v>
      </c>
      <c r="AM59" s="4"/>
      <c r="AN59" s="15"/>
    </row>
    <row r="60" spans="1:40">
      <c r="A60" s="14"/>
      <c r="B60" s="3"/>
      <c r="E60" s="2" t="s">
        <v>169</v>
      </c>
      <c r="AM60" s="4"/>
      <c r="AN60" s="15"/>
    </row>
    <row r="61" spans="1:40">
      <c r="A61" s="14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  <c r="AN61" s="15"/>
    </row>
    <row r="62" spans="1:40">
      <c r="A62" s="14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15"/>
    </row>
    <row r="63" spans="1:40" s="95" customFormat="1">
      <c r="B63" s="59" t="s">
        <v>73</v>
      </c>
      <c r="C63" s="59"/>
      <c r="D63" s="59"/>
      <c r="E63" s="59"/>
      <c r="F63" s="62" t="s">
        <v>154</v>
      </c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</row>
    <row r="64" spans="1:40">
      <c r="B64" s="59" t="s">
        <v>18</v>
      </c>
      <c r="C64" s="59"/>
      <c r="D64" s="59"/>
      <c r="E64" s="59"/>
      <c r="F64" s="60" t="s">
        <v>170</v>
      </c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</row>
    <row r="65" spans="2:39">
      <c r="B65" s="59"/>
      <c r="C65" s="59"/>
      <c r="D65" s="59"/>
      <c r="E65" s="59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</row>
    <row r="66" spans="2:39">
      <c r="B66" s="3"/>
      <c r="AM66" s="4"/>
    </row>
    <row r="67" spans="2:39">
      <c r="B67" s="3"/>
      <c r="C67" s="2" t="s">
        <v>19</v>
      </c>
      <c r="AM67" s="4"/>
    </row>
    <row r="68" spans="2:39">
      <c r="B68" s="3"/>
      <c r="AM68" s="4"/>
    </row>
    <row r="69" spans="2:39">
      <c r="B69" s="3"/>
      <c r="D69" s="2" t="s">
        <v>162</v>
      </c>
      <c r="AM69" s="4"/>
    </row>
    <row r="70" spans="2:39">
      <c r="B70" s="3"/>
      <c r="E70" s="2" t="s">
        <v>74</v>
      </c>
      <c r="AM70" s="4"/>
    </row>
    <row r="71" spans="2:39">
      <c r="B71" s="3"/>
      <c r="E71" s="2" t="s">
        <v>160</v>
      </c>
      <c r="AM71" s="4"/>
    </row>
    <row r="72" spans="2:39">
      <c r="B72" s="3"/>
      <c r="E72" s="2" t="s">
        <v>161</v>
      </c>
      <c r="AM72" s="4"/>
    </row>
    <row r="73" spans="2:39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8"/>
    </row>
    <row r="75" spans="2:39">
      <c r="B75" s="59" t="s">
        <v>73</v>
      </c>
      <c r="C75" s="59"/>
      <c r="D75" s="59"/>
      <c r="E75" s="59"/>
      <c r="F75" s="62" t="s">
        <v>153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</row>
    <row r="76" spans="2:39">
      <c r="B76" s="59" t="s">
        <v>18</v>
      </c>
      <c r="C76" s="59"/>
      <c r="D76" s="59"/>
      <c r="E76" s="59"/>
      <c r="F76" s="60" t="s">
        <v>188</v>
      </c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</row>
    <row r="77" spans="2:39">
      <c r="B77" s="59"/>
      <c r="C77" s="59"/>
      <c r="D77" s="59"/>
      <c r="E77" s="59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</row>
    <row r="78" spans="2:39">
      <c r="B78" s="3"/>
      <c r="AM78" s="4"/>
    </row>
    <row r="79" spans="2:39">
      <c r="B79" s="3"/>
      <c r="C79" s="2" t="s">
        <v>19</v>
      </c>
      <c r="AM79" s="4"/>
    </row>
    <row r="80" spans="2:39">
      <c r="B80" s="3"/>
      <c r="AM80" s="4"/>
    </row>
    <row r="81" spans="2:39">
      <c r="B81" s="3"/>
      <c r="D81" s="2" t="s">
        <v>189</v>
      </c>
      <c r="AM81" s="4"/>
    </row>
    <row r="82" spans="2:39">
      <c r="B82" s="3"/>
      <c r="E82" s="2" t="s">
        <v>75</v>
      </c>
      <c r="AM82" s="4"/>
    </row>
    <row r="83" spans="2:39">
      <c r="B83" s="3"/>
      <c r="E83" s="2" t="s">
        <v>183</v>
      </c>
      <c r="AM83" s="4"/>
    </row>
    <row r="84" spans="2:39">
      <c r="B84" s="3"/>
      <c r="E84" s="2" t="s">
        <v>184</v>
      </c>
      <c r="AM84" s="4"/>
    </row>
    <row r="85" spans="2:39">
      <c r="B85" s="3"/>
      <c r="E85" s="2" t="s">
        <v>185</v>
      </c>
      <c r="AM85" s="4"/>
    </row>
    <row r="86" spans="2:39">
      <c r="B86" s="3"/>
      <c r="E86" s="2" t="s">
        <v>186</v>
      </c>
      <c r="AM86" s="4"/>
    </row>
    <row r="87" spans="2:39">
      <c r="B87" s="3"/>
      <c r="E87" s="2" t="s">
        <v>187</v>
      </c>
      <c r="AM87" s="4"/>
    </row>
    <row r="88" spans="2:39"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8"/>
    </row>
  </sheetData>
  <mergeCells count="42">
    <mergeCell ref="B76:E77"/>
    <mergeCell ref="F76:AM77"/>
    <mergeCell ref="B63:E63"/>
    <mergeCell ref="F63:AM63"/>
    <mergeCell ref="B64:E65"/>
    <mergeCell ref="F64:AM65"/>
    <mergeCell ref="B75:E75"/>
    <mergeCell ref="F75:AM75"/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  <mergeCell ref="B4:E4"/>
    <mergeCell ref="F4:AM4"/>
    <mergeCell ref="B5:E6"/>
    <mergeCell ref="F5:AM6"/>
    <mergeCell ref="B17:E17"/>
    <mergeCell ref="F17:AM17"/>
    <mergeCell ref="B18:E19"/>
    <mergeCell ref="F18:AM19"/>
    <mergeCell ref="B31:E31"/>
    <mergeCell ref="F31:AM31"/>
    <mergeCell ref="B32:E33"/>
    <mergeCell ref="F32:AM33"/>
    <mergeCell ref="B51:E52"/>
    <mergeCell ref="F51:AM52"/>
    <mergeCell ref="B40:E40"/>
    <mergeCell ref="F40:AM40"/>
    <mergeCell ref="B41:E42"/>
    <mergeCell ref="F41:AM42"/>
    <mergeCell ref="B50:E50"/>
    <mergeCell ref="F50:AM50"/>
  </mergeCells>
  <phoneticPr fontId="2"/>
  <printOptions horizontalCentered="1"/>
  <pageMargins left="0.23622047244094491" right="0.23622047244094491" top="0.55118110236220474" bottom="0.55118110236220474" header="0.31496062992125984" footer="0.31496062992125984"/>
  <pageSetup paperSize="9" scale="91" fitToHeight="0" orientation="landscape" r:id="rId1"/>
  <rowBreaks count="2" manualBreakCount="2">
    <brk id="30" max="39" man="1"/>
    <brk id="62" max="3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8CD8-91A7-48CA-B8F3-399FF2A80A65}">
  <sheetPr>
    <pageSetUpPr fitToPage="1"/>
  </sheetPr>
  <dimension ref="A1:BE27"/>
  <sheetViews>
    <sheetView showGridLines="0" view="pageBreakPreview" zoomScaleNormal="100" zoomScaleSheetLayoutView="100" workbookViewId="0">
      <pane ySplit="2" topLeftCell="A3" activePane="bottomLeft" state="frozen"/>
      <selection activeCell="A3" sqref="A3"/>
      <selection pane="bottomLeft" activeCell="O21" sqref="O21"/>
    </sheetView>
  </sheetViews>
  <sheetFormatPr defaultColWidth="3.625" defaultRowHeight="13.5"/>
  <cols>
    <col min="1" max="45" width="3.625" style="2"/>
    <col min="46" max="46" width="3.625" style="2" customWidth="1"/>
    <col min="47" max="16384" width="3.625" style="2"/>
  </cols>
  <sheetData>
    <row r="1" spans="1:57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20"/>
    </row>
    <row r="2" spans="1:57">
      <c r="A2" s="53" t="s">
        <v>0</v>
      </c>
      <c r="B2" s="32"/>
      <c r="C2" s="32"/>
      <c r="D2" s="32"/>
      <c r="E2" s="46" t="s">
        <v>133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2"/>
    </row>
    <row r="3" spans="1:57">
      <c r="A3" s="14"/>
      <c r="BE3" s="15"/>
    </row>
    <row r="4" spans="1:57">
      <c r="A4" s="14"/>
      <c r="BE4" s="15"/>
    </row>
    <row r="5" spans="1:57" ht="13.5" customHeight="1">
      <c r="A5" s="14"/>
      <c r="BE5" s="15"/>
    </row>
    <row r="6" spans="1:57">
      <c r="A6" s="14"/>
      <c r="BE6" s="15"/>
    </row>
    <row r="7" spans="1:57">
      <c r="A7" s="14"/>
      <c r="BE7" s="15"/>
    </row>
    <row r="8" spans="1:57">
      <c r="A8" s="14"/>
      <c r="BE8" s="15"/>
    </row>
    <row r="9" spans="1:57">
      <c r="A9" s="14"/>
      <c r="BE9" s="15"/>
    </row>
    <row r="10" spans="1:57">
      <c r="A10" s="14"/>
      <c r="BE10" s="15"/>
    </row>
    <row r="11" spans="1:57">
      <c r="A11" s="14"/>
      <c r="BE11" s="15"/>
    </row>
    <row r="12" spans="1:57">
      <c r="A12" s="14"/>
      <c r="BE12" s="15"/>
    </row>
    <row r="13" spans="1:57">
      <c r="A13" s="14"/>
      <c r="BE13" s="15"/>
    </row>
    <row r="14" spans="1:57">
      <c r="A14" s="14"/>
      <c r="BE14" s="15"/>
    </row>
    <row r="15" spans="1:57">
      <c r="A15" s="14"/>
      <c r="BE15" s="15"/>
    </row>
    <row r="16" spans="1:57">
      <c r="A16" s="14"/>
      <c r="BE16" s="15"/>
    </row>
    <row r="17" spans="1:57">
      <c r="A17" s="14"/>
      <c r="BE17" s="15"/>
    </row>
    <row r="18" spans="1:57">
      <c r="A18" s="14"/>
      <c r="BE18" s="15"/>
    </row>
    <row r="19" spans="1:57">
      <c r="A19" s="14"/>
      <c r="BE19" s="15"/>
    </row>
    <row r="20" spans="1:57">
      <c r="A20" s="14"/>
      <c r="BE20" s="15"/>
    </row>
    <row r="21" spans="1:57">
      <c r="A21" s="14"/>
      <c r="BE21" s="15"/>
    </row>
    <row r="22" spans="1:57" ht="13.5" customHeight="1">
      <c r="A22" s="14"/>
      <c r="BE22" s="15"/>
    </row>
    <row r="23" spans="1:57">
      <c r="A23" s="14"/>
      <c r="BE23" s="15"/>
    </row>
    <row r="24" spans="1:57">
      <c r="A24" s="14"/>
      <c r="BE24" s="15"/>
    </row>
    <row r="25" spans="1:57">
      <c r="A25" s="14"/>
      <c r="BE25" s="15"/>
    </row>
    <row r="26" spans="1:57">
      <c r="A26" s="14"/>
      <c r="BE26" s="15"/>
    </row>
    <row r="27" spans="1:57" ht="14.25" thickBo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8"/>
    </row>
  </sheetData>
  <mergeCells count="14"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8804-3D74-4FEC-899E-CAA8A1B59A39}">
  <sheetPr>
    <pageSetUpPr fitToPage="1"/>
  </sheetPr>
  <dimension ref="A1:BE72"/>
  <sheetViews>
    <sheetView showGridLines="0" tabSelected="1" view="pageBreakPreview" zoomScaleNormal="100" zoomScaleSheetLayoutView="100" workbookViewId="0">
      <pane ySplit="2" topLeftCell="A15" activePane="bottomLeft" state="frozen"/>
      <selection activeCell="A3" sqref="A3"/>
      <selection pane="bottomLeft" activeCell="AO22" sqref="AO22"/>
    </sheetView>
  </sheetViews>
  <sheetFormatPr defaultColWidth="3.625" defaultRowHeight="13.5"/>
  <cols>
    <col min="1" max="45" width="3.625" style="2"/>
    <col min="46" max="46" width="3.625" style="2" customWidth="1"/>
    <col min="47" max="16384" width="3.625" style="2"/>
  </cols>
  <sheetData>
    <row r="1" spans="1:57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20"/>
    </row>
    <row r="2" spans="1:57">
      <c r="A2" s="53" t="s">
        <v>0</v>
      </c>
      <c r="B2" s="32"/>
      <c r="C2" s="32"/>
      <c r="D2" s="32"/>
      <c r="E2" s="46" t="s">
        <v>13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2"/>
    </row>
    <row r="3" spans="1:57">
      <c r="A3" s="14"/>
      <c r="BE3" s="15"/>
    </row>
    <row r="4" spans="1:57">
      <c r="A4" s="14"/>
      <c r="B4" s="32" t="s">
        <v>36</v>
      </c>
      <c r="C4" s="32"/>
      <c r="D4" s="32"/>
      <c r="E4" s="32"/>
      <c r="F4" s="62" t="s">
        <v>76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15"/>
    </row>
    <row r="5" spans="1:57">
      <c r="A5" s="14"/>
      <c r="B5" s="32" t="s">
        <v>18</v>
      </c>
      <c r="C5" s="32"/>
      <c r="D5" s="32"/>
      <c r="E5" s="32"/>
      <c r="F5" s="60" t="s">
        <v>81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15"/>
    </row>
    <row r="6" spans="1:57">
      <c r="A6" s="14"/>
      <c r="B6" s="32"/>
      <c r="C6" s="32"/>
      <c r="D6" s="32"/>
      <c r="E6" s="32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15"/>
    </row>
    <row r="7" spans="1:57">
      <c r="A7" s="14"/>
      <c r="B7" s="3"/>
      <c r="BD7" s="4"/>
      <c r="BE7" s="15"/>
    </row>
    <row r="8" spans="1:57">
      <c r="A8" s="14"/>
      <c r="B8" s="3"/>
      <c r="C8" s="2" t="s">
        <v>37</v>
      </c>
      <c r="BD8" s="4"/>
      <c r="BE8" s="15"/>
    </row>
    <row r="9" spans="1:57">
      <c r="A9" s="14"/>
      <c r="B9" s="3"/>
      <c r="BD9" s="4"/>
      <c r="BE9" s="15"/>
    </row>
    <row r="10" spans="1:57">
      <c r="A10" s="14"/>
      <c r="B10" s="3"/>
      <c r="D10" s="2" t="s">
        <v>78</v>
      </c>
      <c r="BD10" s="4"/>
      <c r="BE10" s="15"/>
    </row>
    <row r="11" spans="1:57">
      <c r="A11" s="14"/>
      <c r="B11" s="3"/>
      <c r="BD11" s="4"/>
      <c r="BE11" s="15"/>
    </row>
    <row r="12" spans="1:57">
      <c r="A12" s="14"/>
      <c r="B12" s="3"/>
      <c r="BD12" s="4"/>
      <c r="BE12" s="15"/>
    </row>
    <row r="13" spans="1:57">
      <c r="A13" s="14"/>
      <c r="B13" s="3"/>
      <c r="BD13" s="4"/>
      <c r="BE13" s="15"/>
    </row>
    <row r="14" spans="1:57">
      <c r="A14" s="14"/>
      <c r="B14" s="3"/>
      <c r="BD14" s="4"/>
      <c r="BE14" s="15"/>
    </row>
    <row r="15" spans="1:57">
      <c r="A15" s="14"/>
      <c r="B15" s="3"/>
      <c r="BD15" s="4"/>
      <c r="BE15" s="15"/>
    </row>
    <row r="16" spans="1:57">
      <c r="A16" s="14"/>
      <c r="B16" s="3"/>
      <c r="BD16" s="4"/>
      <c r="BE16" s="15"/>
    </row>
    <row r="17" spans="1:57">
      <c r="A17" s="14"/>
      <c r="B17" s="3"/>
      <c r="BD17" s="4"/>
      <c r="BE17" s="15"/>
    </row>
    <row r="18" spans="1:57">
      <c r="A18" s="14"/>
      <c r="B18" s="3"/>
      <c r="BD18" s="4"/>
      <c r="BE18" s="15"/>
    </row>
    <row r="19" spans="1:57">
      <c r="A19" s="14"/>
      <c r="B19" s="3"/>
      <c r="BD19" s="4"/>
      <c r="BE19" s="15"/>
    </row>
    <row r="20" spans="1:57">
      <c r="A20" s="14"/>
      <c r="B20" s="3"/>
      <c r="BD20" s="4"/>
      <c r="BE20" s="15"/>
    </row>
    <row r="21" spans="1:57">
      <c r="A21" s="14"/>
      <c r="B21" s="3"/>
      <c r="BD21" s="4"/>
      <c r="BE21" s="15"/>
    </row>
    <row r="22" spans="1:57">
      <c r="A22" s="14"/>
      <c r="B22" s="3"/>
      <c r="D22" s="2" t="s">
        <v>77</v>
      </c>
      <c r="BD22" s="4"/>
      <c r="BE22" s="15"/>
    </row>
    <row r="23" spans="1:57">
      <c r="A23" s="14"/>
      <c r="B23" s="3"/>
      <c r="D23" s="2" t="s">
        <v>80</v>
      </c>
      <c r="BD23" s="4"/>
      <c r="BE23" s="15"/>
    </row>
    <row r="24" spans="1:57">
      <c r="A24" s="14"/>
      <c r="B24" s="3"/>
      <c r="BD24" s="4"/>
      <c r="BE24" s="15"/>
    </row>
    <row r="25" spans="1:57">
      <c r="A25" s="14"/>
      <c r="B25" s="3"/>
      <c r="BD25" s="4"/>
      <c r="BE25" s="15"/>
    </row>
    <row r="26" spans="1:57">
      <c r="A26" s="14"/>
      <c r="B26" s="3"/>
      <c r="BD26" s="4"/>
      <c r="BE26" s="15"/>
    </row>
    <row r="27" spans="1:57">
      <c r="A27" s="14"/>
      <c r="B27" s="3"/>
      <c r="BD27" s="4"/>
      <c r="BE27" s="15"/>
    </row>
    <row r="28" spans="1:57">
      <c r="A28" s="14"/>
      <c r="B28" s="3"/>
      <c r="BD28" s="4"/>
      <c r="BE28" s="15"/>
    </row>
    <row r="29" spans="1:57">
      <c r="A29" s="14"/>
      <c r="B29" s="3"/>
      <c r="BD29" s="4"/>
      <c r="BE29" s="15"/>
    </row>
    <row r="30" spans="1:57">
      <c r="A30" s="14"/>
      <c r="B30" s="3"/>
      <c r="BD30" s="4"/>
      <c r="BE30" s="15"/>
    </row>
    <row r="31" spans="1:57">
      <c r="A31" s="14"/>
      <c r="B31" s="3"/>
      <c r="BD31" s="4"/>
      <c r="BE31" s="15"/>
    </row>
    <row r="32" spans="1:57">
      <c r="A32" s="14"/>
      <c r="B32" s="3"/>
      <c r="C32" s="71" t="s">
        <v>8</v>
      </c>
      <c r="D32" s="71"/>
      <c r="E32" s="72" t="s">
        <v>38</v>
      </c>
      <c r="F32" s="73"/>
      <c r="G32" s="73"/>
      <c r="H32" s="73"/>
      <c r="I32" s="73"/>
      <c r="J32" s="73"/>
      <c r="K32" s="73"/>
      <c r="L32" s="74"/>
      <c r="M32" s="72" t="s">
        <v>39</v>
      </c>
      <c r="N32" s="73"/>
      <c r="O32" s="73"/>
      <c r="P32" s="73"/>
      <c r="Q32" s="74"/>
      <c r="R32" s="72" t="s">
        <v>40</v>
      </c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2" t="s">
        <v>42</v>
      </c>
      <c r="AE32" s="73"/>
      <c r="AF32" s="73"/>
      <c r="AG32" s="73"/>
      <c r="AH32" s="73"/>
      <c r="AI32" s="73"/>
      <c r="AJ32" s="73"/>
      <c r="AK32" s="74"/>
      <c r="AL32" s="72" t="s">
        <v>41</v>
      </c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4"/>
      <c r="BD32" s="4"/>
      <c r="BE32" s="15"/>
    </row>
    <row r="33" spans="1:57">
      <c r="A33" s="14"/>
      <c r="B33" s="3"/>
      <c r="C33" s="70" t="s">
        <v>45</v>
      </c>
      <c r="D33" s="70"/>
      <c r="E33" s="64" t="s">
        <v>49</v>
      </c>
      <c r="F33" s="65"/>
      <c r="G33" s="65"/>
      <c r="H33" s="65"/>
      <c r="I33" s="65"/>
      <c r="J33" s="65"/>
      <c r="K33" s="65"/>
      <c r="L33" s="66"/>
      <c r="M33" s="64" t="s">
        <v>44</v>
      </c>
      <c r="N33" s="65"/>
      <c r="O33" s="65"/>
      <c r="P33" s="65"/>
      <c r="Q33" s="66"/>
      <c r="R33" s="64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6"/>
      <c r="AD33" s="64"/>
      <c r="AE33" s="65"/>
      <c r="AF33" s="65"/>
      <c r="AG33" s="65"/>
      <c r="AH33" s="65"/>
      <c r="AI33" s="65"/>
      <c r="AJ33" s="65"/>
      <c r="AK33" s="66"/>
      <c r="AL33" s="64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6"/>
      <c r="BD33" s="4"/>
      <c r="BE33" s="15"/>
    </row>
    <row r="34" spans="1:57">
      <c r="A34" s="14"/>
      <c r="B34" s="3"/>
      <c r="C34" s="70" t="s">
        <v>46</v>
      </c>
      <c r="D34" s="70"/>
      <c r="E34" s="64" t="s">
        <v>86</v>
      </c>
      <c r="F34" s="65"/>
      <c r="G34" s="65"/>
      <c r="H34" s="65"/>
      <c r="I34" s="65"/>
      <c r="J34" s="65"/>
      <c r="K34" s="65"/>
      <c r="L34" s="66"/>
      <c r="M34" s="64" t="s">
        <v>44</v>
      </c>
      <c r="N34" s="65"/>
      <c r="O34" s="65"/>
      <c r="P34" s="65"/>
      <c r="Q34" s="66"/>
      <c r="R34" s="64" t="s">
        <v>82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6"/>
      <c r="AD34" s="64"/>
      <c r="AE34" s="65"/>
      <c r="AF34" s="65"/>
      <c r="AG34" s="65"/>
      <c r="AH34" s="65"/>
      <c r="AI34" s="65"/>
      <c r="AJ34" s="65"/>
      <c r="AK34" s="66"/>
      <c r="AL34" s="64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6"/>
      <c r="BD34" s="4"/>
      <c r="BE34" s="15"/>
    </row>
    <row r="35" spans="1:57">
      <c r="A35" s="14"/>
      <c r="B35" s="3"/>
      <c r="C35" s="70" t="s">
        <v>47</v>
      </c>
      <c r="D35" s="70"/>
      <c r="E35" s="64" t="s">
        <v>83</v>
      </c>
      <c r="F35" s="65"/>
      <c r="G35" s="65"/>
      <c r="H35" s="65"/>
      <c r="I35" s="65"/>
      <c r="J35" s="65"/>
      <c r="K35" s="65"/>
      <c r="L35" s="66"/>
      <c r="M35" s="64" t="s">
        <v>43</v>
      </c>
      <c r="N35" s="65"/>
      <c r="O35" s="65"/>
      <c r="P35" s="65"/>
      <c r="Q35" s="66"/>
      <c r="R35" s="64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6"/>
      <c r="AD35" s="64" t="s">
        <v>137</v>
      </c>
      <c r="AE35" s="65"/>
      <c r="AF35" s="65"/>
      <c r="AG35" s="65"/>
      <c r="AH35" s="65"/>
      <c r="AI35" s="65"/>
      <c r="AJ35" s="65"/>
      <c r="AK35" s="66"/>
      <c r="AL35" s="64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6"/>
      <c r="BD35" s="4"/>
      <c r="BE35" s="15"/>
    </row>
    <row r="36" spans="1:57">
      <c r="A36" s="14"/>
      <c r="B36" s="3"/>
      <c r="C36" s="70" t="s">
        <v>48</v>
      </c>
      <c r="D36" s="70"/>
      <c r="E36" s="64" t="s">
        <v>79</v>
      </c>
      <c r="F36" s="65"/>
      <c r="G36" s="65"/>
      <c r="H36" s="65"/>
      <c r="I36" s="65"/>
      <c r="J36" s="65"/>
      <c r="K36" s="65"/>
      <c r="L36" s="66"/>
      <c r="M36" s="64" t="s">
        <v>43</v>
      </c>
      <c r="N36" s="65"/>
      <c r="O36" s="65"/>
      <c r="P36" s="65"/>
      <c r="Q36" s="66"/>
      <c r="R36" s="64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6"/>
      <c r="AD36" s="64" t="s">
        <v>22</v>
      </c>
      <c r="AE36" s="65"/>
      <c r="AF36" s="65"/>
      <c r="AG36" s="65"/>
      <c r="AH36" s="65"/>
      <c r="AI36" s="65"/>
      <c r="AJ36" s="65"/>
      <c r="AK36" s="66"/>
      <c r="AL36" s="67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9"/>
      <c r="BD36" s="4"/>
      <c r="BE36" s="15"/>
    </row>
    <row r="37" spans="1:57">
      <c r="A37" s="14"/>
      <c r="B37" s="3"/>
      <c r="BD37" s="4"/>
      <c r="BE37" s="15"/>
    </row>
    <row r="38" spans="1:57">
      <c r="A38" s="14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8"/>
      <c r="BE38" s="15"/>
    </row>
    <row r="39" spans="1:57">
      <c r="A39" s="14"/>
      <c r="BE39" s="15"/>
    </row>
    <row r="40" spans="1:57">
      <c r="A40" s="14"/>
      <c r="B40" s="32" t="s">
        <v>36</v>
      </c>
      <c r="C40" s="32"/>
      <c r="D40" s="32"/>
      <c r="E40" s="32"/>
      <c r="F40" s="62" t="s">
        <v>84</v>
      </c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15"/>
    </row>
    <row r="41" spans="1:57">
      <c r="A41" s="14"/>
      <c r="B41" s="32" t="s">
        <v>18</v>
      </c>
      <c r="C41" s="32"/>
      <c r="D41" s="32"/>
      <c r="E41" s="32"/>
      <c r="F41" s="60" t="s">
        <v>85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15"/>
    </row>
    <row r="42" spans="1:57">
      <c r="A42" s="14"/>
      <c r="B42" s="32"/>
      <c r="C42" s="32"/>
      <c r="D42" s="32"/>
      <c r="E42" s="32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15"/>
    </row>
    <row r="43" spans="1:57">
      <c r="A43" s="14"/>
      <c r="B43" s="3"/>
      <c r="BD43" s="4"/>
      <c r="BE43" s="15"/>
    </row>
    <row r="44" spans="1:57">
      <c r="A44" s="14"/>
      <c r="B44" s="3"/>
      <c r="C44" s="2" t="s">
        <v>37</v>
      </c>
      <c r="BD44" s="4"/>
      <c r="BE44" s="15"/>
    </row>
    <row r="45" spans="1:57">
      <c r="A45" s="14"/>
      <c r="B45" s="3"/>
      <c r="BD45" s="4"/>
      <c r="BE45" s="15"/>
    </row>
    <row r="46" spans="1:57">
      <c r="A46" s="14"/>
      <c r="B46" s="3"/>
      <c r="BD46" s="4"/>
      <c r="BE46" s="15"/>
    </row>
    <row r="47" spans="1:57">
      <c r="A47" s="14"/>
      <c r="B47" s="3"/>
      <c r="BD47" s="4"/>
      <c r="BE47" s="15"/>
    </row>
    <row r="48" spans="1:57">
      <c r="A48" s="14"/>
      <c r="B48" s="3"/>
      <c r="BD48" s="4"/>
      <c r="BE48" s="15"/>
    </row>
    <row r="49" spans="1:57">
      <c r="A49" s="14"/>
      <c r="B49" s="3"/>
      <c r="BD49" s="4"/>
      <c r="BE49" s="15"/>
    </row>
    <row r="50" spans="1:57">
      <c r="A50" s="14"/>
      <c r="B50" s="3"/>
      <c r="BD50" s="4"/>
      <c r="BE50" s="15"/>
    </row>
    <row r="51" spans="1:57">
      <c r="A51" s="14"/>
      <c r="B51" s="3"/>
      <c r="BD51" s="4"/>
      <c r="BE51" s="15"/>
    </row>
    <row r="52" spans="1:57">
      <c r="A52" s="14"/>
      <c r="B52" s="3"/>
      <c r="BD52" s="4"/>
      <c r="BE52" s="15"/>
    </row>
    <row r="53" spans="1:57">
      <c r="A53" s="14"/>
      <c r="B53" s="3"/>
      <c r="BD53" s="4"/>
      <c r="BE53" s="15"/>
    </row>
    <row r="54" spans="1:57">
      <c r="A54" s="14"/>
      <c r="B54" s="3"/>
      <c r="BD54" s="4"/>
      <c r="BE54" s="15"/>
    </row>
    <row r="55" spans="1:57">
      <c r="A55" s="14"/>
      <c r="B55" s="3"/>
      <c r="BD55" s="4"/>
      <c r="BE55" s="15"/>
    </row>
    <row r="56" spans="1:57">
      <c r="A56" s="14"/>
      <c r="B56" s="3"/>
      <c r="BD56" s="4"/>
      <c r="BE56" s="15"/>
    </row>
    <row r="57" spans="1:57">
      <c r="A57" s="14"/>
      <c r="B57" s="3"/>
      <c r="BD57" s="4"/>
      <c r="BE57" s="15"/>
    </row>
    <row r="58" spans="1:57">
      <c r="A58" s="14"/>
      <c r="B58" s="3"/>
      <c r="BD58" s="4"/>
      <c r="BE58" s="15"/>
    </row>
    <row r="59" spans="1:57">
      <c r="A59" s="14"/>
      <c r="B59" s="3"/>
      <c r="C59" s="71" t="s">
        <v>8</v>
      </c>
      <c r="D59" s="71"/>
      <c r="E59" s="72" t="s">
        <v>38</v>
      </c>
      <c r="F59" s="73"/>
      <c r="G59" s="73"/>
      <c r="H59" s="73"/>
      <c r="I59" s="73"/>
      <c r="J59" s="73"/>
      <c r="K59" s="73"/>
      <c r="L59" s="74"/>
      <c r="M59" s="72" t="s">
        <v>39</v>
      </c>
      <c r="N59" s="73"/>
      <c r="O59" s="73"/>
      <c r="P59" s="73"/>
      <c r="Q59" s="74"/>
      <c r="R59" s="72" t="s">
        <v>40</v>
      </c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4"/>
      <c r="AD59" s="72" t="s">
        <v>42</v>
      </c>
      <c r="AE59" s="73"/>
      <c r="AF59" s="73"/>
      <c r="AG59" s="73"/>
      <c r="AH59" s="73"/>
      <c r="AI59" s="73"/>
      <c r="AJ59" s="73"/>
      <c r="AK59" s="74"/>
      <c r="AL59" s="72" t="s">
        <v>41</v>
      </c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4"/>
      <c r="BD59" s="4"/>
      <c r="BE59" s="15"/>
    </row>
    <row r="60" spans="1:57">
      <c r="A60" s="14"/>
      <c r="B60" s="3"/>
      <c r="C60" s="70" t="s">
        <v>45</v>
      </c>
      <c r="D60" s="70"/>
      <c r="E60" s="23" t="s">
        <v>88</v>
      </c>
      <c r="F60" s="24"/>
      <c r="G60" s="24"/>
      <c r="H60" s="24"/>
      <c r="I60" s="24"/>
      <c r="J60" s="24"/>
      <c r="K60" s="24"/>
      <c r="L60" s="25"/>
      <c r="M60" s="64" t="s">
        <v>44</v>
      </c>
      <c r="N60" s="65"/>
      <c r="O60" s="65"/>
      <c r="P60" s="65"/>
      <c r="Q60" s="66"/>
      <c r="R60" s="64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6"/>
      <c r="AD60" s="64"/>
      <c r="AE60" s="65"/>
      <c r="AF60" s="65"/>
      <c r="AG60" s="65"/>
      <c r="AH60" s="65"/>
      <c r="AI60" s="65"/>
      <c r="AJ60" s="65"/>
      <c r="AK60" s="66"/>
      <c r="AL60" s="64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6"/>
      <c r="BD60" s="4"/>
      <c r="BE60" s="15"/>
    </row>
    <row r="61" spans="1:57">
      <c r="A61" s="14"/>
      <c r="B61" s="3"/>
      <c r="C61" s="70" t="s">
        <v>46</v>
      </c>
      <c r="D61" s="70"/>
      <c r="E61" s="23" t="s">
        <v>87</v>
      </c>
      <c r="F61" s="24"/>
      <c r="G61" s="24"/>
      <c r="H61" s="24"/>
      <c r="I61" s="24"/>
      <c r="J61" s="24"/>
      <c r="K61" s="24"/>
      <c r="L61" s="25"/>
      <c r="M61" s="64" t="s">
        <v>44</v>
      </c>
      <c r="N61" s="65"/>
      <c r="O61" s="65"/>
      <c r="P61" s="65"/>
      <c r="Q61" s="66"/>
      <c r="R61" s="64" t="s">
        <v>139</v>
      </c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6"/>
      <c r="AD61" s="64"/>
      <c r="AE61" s="65"/>
      <c r="AF61" s="65"/>
      <c r="AG61" s="65"/>
      <c r="AH61" s="65"/>
      <c r="AI61" s="65"/>
      <c r="AJ61" s="65"/>
      <c r="AK61" s="66"/>
      <c r="AL61" s="64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6"/>
      <c r="BD61" s="4"/>
      <c r="BE61" s="15"/>
    </row>
    <row r="62" spans="1:57">
      <c r="A62" s="14"/>
      <c r="B62" s="3"/>
      <c r="C62" s="70" t="s">
        <v>47</v>
      </c>
      <c r="D62" s="70"/>
      <c r="E62" s="23" t="s">
        <v>89</v>
      </c>
      <c r="F62" s="24"/>
      <c r="G62" s="24"/>
      <c r="H62" s="24"/>
      <c r="I62" s="24"/>
      <c r="J62" s="24"/>
      <c r="K62" s="24"/>
      <c r="L62" s="25"/>
      <c r="M62" s="64" t="s">
        <v>44</v>
      </c>
      <c r="N62" s="65"/>
      <c r="O62" s="65"/>
      <c r="P62" s="65"/>
      <c r="Q62" s="66"/>
      <c r="R62" s="64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6"/>
      <c r="AD62" s="64"/>
      <c r="AE62" s="65"/>
      <c r="AF62" s="65"/>
      <c r="AG62" s="65"/>
      <c r="AH62" s="65"/>
      <c r="AI62" s="65"/>
      <c r="AJ62" s="65"/>
      <c r="AK62" s="66"/>
      <c r="AL62" s="64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6"/>
      <c r="BD62" s="4"/>
      <c r="BE62" s="15"/>
    </row>
    <row r="63" spans="1:57">
      <c r="A63" s="14"/>
      <c r="B63" s="3"/>
      <c r="C63" s="70" t="s">
        <v>48</v>
      </c>
      <c r="D63" s="70"/>
      <c r="E63" s="23" t="s">
        <v>90</v>
      </c>
      <c r="F63" s="24"/>
      <c r="G63" s="24"/>
      <c r="H63" s="24"/>
      <c r="I63" s="24"/>
      <c r="J63" s="24"/>
      <c r="K63" s="24"/>
      <c r="L63" s="25"/>
      <c r="M63" s="64" t="s">
        <v>44</v>
      </c>
      <c r="N63" s="65"/>
      <c r="O63" s="65"/>
      <c r="P63" s="65"/>
      <c r="Q63" s="66"/>
      <c r="R63" s="64" t="s">
        <v>140</v>
      </c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6"/>
      <c r="AD63" s="64"/>
      <c r="AE63" s="65"/>
      <c r="AF63" s="65"/>
      <c r="AG63" s="65"/>
      <c r="AH63" s="65"/>
      <c r="AI63" s="65"/>
      <c r="AJ63" s="65"/>
      <c r="AK63" s="66"/>
      <c r="AL63" s="67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9"/>
      <c r="BD63" s="4"/>
      <c r="BE63" s="15"/>
    </row>
    <row r="64" spans="1:57">
      <c r="A64" s="14"/>
      <c r="B64" s="3"/>
      <c r="C64" s="70" t="s">
        <v>45</v>
      </c>
      <c r="D64" s="70"/>
      <c r="E64" s="23" t="s">
        <v>91</v>
      </c>
      <c r="F64" s="24"/>
      <c r="G64" s="24"/>
      <c r="H64" s="24"/>
      <c r="I64" s="24"/>
      <c r="J64" s="24"/>
      <c r="K64" s="24"/>
      <c r="L64" s="25"/>
      <c r="M64" s="64" t="s">
        <v>44</v>
      </c>
      <c r="N64" s="65"/>
      <c r="O64" s="65"/>
      <c r="P64" s="65"/>
      <c r="Q64" s="66"/>
      <c r="R64" s="64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6"/>
      <c r="AD64" s="64"/>
      <c r="AE64" s="65"/>
      <c r="AF64" s="65"/>
      <c r="AG64" s="65"/>
      <c r="AH64" s="65"/>
      <c r="AI64" s="65"/>
      <c r="AJ64" s="65"/>
      <c r="AK64" s="66"/>
      <c r="AL64" s="64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6"/>
      <c r="BD64" s="4"/>
      <c r="BE64" s="15"/>
    </row>
    <row r="65" spans="1:57">
      <c r="A65" s="14"/>
      <c r="B65" s="3"/>
      <c r="C65" s="70" t="s">
        <v>46</v>
      </c>
      <c r="D65" s="70"/>
      <c r="E65" s="64" t="s">
        <v>92</v>
      </c>
      <c r="F65" s="65"/>
      <c r="G65" s="65"/>
      <c r="H65" s="65"/>
      <c r="I65" s="65"/>
      <c r="J65" s="65"/>
      <c r="K65" s="65"/>
      <c r="L65" s="66"/>
      <c r="M65" s="64" t="s">
        <v>44</v>
      </c>
      <c r="N65" s="65"/>
      <c r="O65" s="65"/>
      <c r="P65" s="65"/>
      <c r="Q65" s="66"/>
      <c r="R65" s="64" t="s">
        <v>141</v>
      </c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6"/>
      <c r="AD65" s="64"/>
      <c r="AE65" s="65"/>
      <c r="AF65" s="65"/>
      <c r="AG65" s="65"/>
      <c r="AH65" s="65"/>
      <c r="AI65" s="65"/>
      <c r="AJ65" s="65"/>
      <c r="AK65" s="66"/>
      <c r="AL65" s="64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6"/>
      <c r="BD65" s="4"/>
      <c r="BE65" s="15"/>
    </row>
    <row r="66" spans="1:57">
      <c r="A66" s="14"/>
      <c r="B66" s="3"/>
      <c r="C66" s="70" t="s">
        <v>47</v>
      </c>
      <c r="D66" s="70"/>
      <c r="E66" s="64" t="s">
        <v>93</v>
      </c>
      <c r="F66" s="65"/>
      <c r="G66" s="65"/>
      <c r="H66" s="65"/>
      <c r="I66" s="65"/>
      <c r="J66" s="65"/>
      <c r="K66" s="65"/>
      <c r="L66" s="66"/>
      <c r="M66" s="64" t="s">
        <v>44</v>
      </c>
      <c r="N66" s="65"/>
      <c r="O66" s="65"/>
      <c r="P66" s="65"/>
      <c r="Q66" s="66"/>
      <c r="R66" s="64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6"/>
      <c r="AD66" s="64"/>
      <c r="AE66" s="65"/>
      <c r="AF66" s="65"/>
      <c r="AG66" s="65"/>
      <c r="AH66" s="65"/>
      <c r="AI66" s="65"/>
      <c r="AJ66" s="65"/>
      <c r="AK66" s="66"/>
      <c r="AL66" s="64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6"/>
      <c r="BD66" s="4"/>
      <c r="BE66" s="15"/>
    </row>
    <row r="67" spans="1:57" ht="13.5" customHeight="1">
      <c r="A67" s="14"/>
      <c r="B67" s="3"/>
      <c r="C67" s="70" t="s">
        <v>48</v>
      </c>
      <c r="D67" s="70"/>
      <c r="E67" s="64" t="s">
        <v>94</v>
      </c>
      <c r="F67" s="65"/>
      <c r="G67" s="65"/>
      <c r="H67" s="65"/>
      <c r="I67" s="65"/>
      <c r="J67" s="65"/>
      <c r="K67" s="65"/>
      <c r="L67" s="66"/>
      <c r="M67" s="64" t="s">
        <v>44</v>
      </c>
      <c r="N67" s="65"/>
      <c r="O67" s="65"/>
      <c r="P67" s="65"/>
      <c r="Q67" s="66"/>
      <c r="R67" s="64" t="s">
        <v>142</v>
      </c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6"/>
      <c r="AD67" s="64"/>
      <c r="AE67" s="65"/>
      <c r="AF67" s="65"/>
      <c r="AG67" s="65"/>
      <c r="AH67" s="65"/>
      <c r="AI67" s="65"/>
      <c r="AJ67" s="65"/>
      <c r="AK67" s="66"/>
      <c r="AL67" s="67" t="s">
        <v>138</v>
      </c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9"/>
      <c r="BD67" s="4"/>
      <c r="BE67" s="15"/>
    </row>
    <row r="68" spans="1:57">
      <c r="A68" s="14"/>
      <c r="B68" s="3"/>
      <c r="BD68" s="4"/>
      <c r="BE68" s="15"/>
    </row>
    <row r="69" spans="1:57">
      <c r="A69" s="14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8"/>
      <c r="BE69" s="15"/>
    </row>
    <row r="70" spans="1:57">
      <c r="A70" s="14"/>
      <c r="BE70" s="15"/>
    </row>
    <row r="71" spans="1:57">
      <c r="A71" s="14"/>
      <c r="BE71" s="15"/>
    </row>
    <row r="72" spans="1:57" ht="14.25" thickBot="1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8"/>
    </row>
  </sheetData>
  <mergeCells count="101"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  <mergeCell ref="B4:E4"/>
    <mergeCell ref="F4:BD4"/>
    <mergeCell ref="B5:E6"/>
    <mergeCell ref="F5:BD6"/>
    <mergeCell ref="C32:D32"/>
    <mergeCell ref="E32:L32"/>
    <mergeCell ref="M32:Q32"/>
    <mergeCell ref="R32:AC32"/>
    <mergeCell ref="AD32:AK32"/>
    <mergeCell ref="AL32:BC32"/>
    <mergeCell ref="AL35:BC35"/>
    <mergeCell ref="AL36:BC36"/>
    <mergeCell ref="C33:D33"/>
    <mergeCell ref="E33:L33"/>
    <mergeCell ref="M33:Q33"/>
    <mergeCell ref="R33:AC33"/>
    <mergeCell ref="AD33:AK33"/>
    <mergeCell ref="C34:D34"/>
    <mergeCell ref="E34:L34"/>
    <mergeCell ref="M34:Q34"/>
    <mergeCell ref="R34:AC34"/>
    <mergeCell ref="AD34:AK34"/>
    <mergeCell ref="AL33:BC33"/>
    <mergeCell ref="AL34:BC34"/>
    <mergeCell ref="C35:D35"/>
    <mergeCell ref="E35:L35"/>
    <mergeCell ref="M35:Q35"/>
    <mergeCell ref="R35:AC35"/>
    <mergeCell ref="AD35:AK35"/>
    <mergeCell ref="C36:D36"/>
    <mergeCell ref="E36:L36"/>
    <mergeCell ref="M36:Q36"/>
    <mergeCell ref="R36:AC36"/>
    <mergeCell ref="AD36:AK36"/>
    <mergeCell ref="B40:E40"/>
    <mergeCell ref="F40:BD40"/>
    <mergeCell ref="B41:E42"/>
    <mergeCell ref="F41:BD42"/>
    <mergeCell ref="C59:D59"/>
    <mergeCell ref="E59:L59"/>
    <mergeCell ref="M59:Q59"/>
    <mergeCell ref="R59:AC59"/>
    <mergeCell ref="AD59:AK59"/>
    <mergeCell ref="AL59:BC59"/>
    <mergeCell ref="M64:Q64"/>
    <mergeCell ref="R64:AC64"/>
    <mergeCell ref="AD64:AK64"/>
    <mergeCell ref="C60:D60"/>
    <mergeCell ref="M60:Q60"/>
    <mergeCell ref="R60:AC60"/>
    <mergeCell ref="AD60:AK60"/>
    <mergeCell ref="C61:D61"/>
    <mergeCell ref="M61:Q61"/>
    <mergeCell ref="R61:AC61"/>
    <mergeCell ref="AD61:AK61"/>
    <mergeCell ref="C62:D62"/>
    <mergeCell ref="M62:Q62"/>
    <mergeCell ref="R62:AC62"/>
    <mergeCell ref="AD62:AK62"/>
    <mergeCell ref="C63:D63"/>
    <mergeCell ref="M63:Q63"/>
    <mergeCell ref="R63:AC63"/>
    <mergeCell ref="AD63:AK63"/>
    <mergeCell ref="AL60:BC60"/>
    <mergeCell ref="AL61:BC61"/>
    <mergeCell ref="AL62:BC62"/>
    <mergeCell ref="AL63:BC63"/>
    <mergeCell ref="AL64:BC64"/>
    <mergeCell ref="AL65:BC65"/>
    <mergeCell ref="AL66:BC66"/>
    <mergeCell ref="AL67:BC67"/>
    <mergeCell ref="C67:D67"/>
    <mergeCell ref="E67:L67"/>
    <mergeCell ref="M67:Q67"/>
    <mergeCell ref="R67:AC67"/>
    <mergeCell ref="AD67:AK67"/>
    <mergeCell ref="C65:D65"/>
    <mergeCell ref="E65:L65"/>
    <mergeCell ref="M65:Q65"/>
    <mergeCell ref="R65:AC65"/>
    <mergeCell ref="AD65:AK65"/>
    <mergeCell ref="C66:D66"/>
    <mergeCell ref="E66:L66"/>
    <mergeCell ref="M66:Q66"/>
    <mergeCell ref="R66:AC66"/>
    <mergeCell ref="AD66:AK66"/>
    <mergeCell ref="C64:D64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rowBreaks count="1" manualBreakCount="1">
    <brk id="38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D1AD-674E-4324-A8B8-2651F0F948A1}">
  <sheetPr>
    <pageSetUpPr fitToPage="1"/>
  </sheetPr>
  <dimension ref="A1:BD16"/>
  <sheetViews>
    <sheetView showGridLines="0" view="pageBreakPreview" zoomScaleNormal="100" zoomScaleSheetLayoutView="100" workbookViewId="0">
      <pane ySplit="2" topLeftCell="A3" activePane="bottomLeft" state="frozen"/>
      <selection activeCell="A3" sqref="A3"/>
      <selection pane="bottomLeft" sqref="A1:D1"/>
    </sheetView>
  </sheetViews>
  <sheetFormatPr defaultColWidth="3.625" defaultRowHeight="13.5"/>
  <cols>
    <col min="1" max="16384" width="3.625" style="2"/>
  </cols>
  <sheetData>
    <row r="1" spans="1:56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20"/>
    </row>
    <row r="2" spans="1:56">
      <c r="A2" s="53" t="s">
        <v>0</v>
      </c>
      <c r="B2" s="32"/>
      <c r="C2" s="32"/>
      <c r="D2" s="32"/>
      <c r="E2" s="46" t="s">
        <v>14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2"/>
    </row>
    <row r="3" spans="1:56">
      <c r="A3" s="14"/>
      <c r="BD3" s="15"/>
    </row>
    <row r="4" spans="1:56">
      <c r="A4" s="14"/>
      <c r="B4" s="32" t="s">
        <v>8</v>
      </c>
      <c r="C4" s="32"/>
      <c r="D4" s="32" t="s">
        <v>50</v>
      </c>
      <c r="E4" s="32"/>
      <c r="F4" s="32"/>
      <c r="G4" s="32"/>
      <c r="H4" s="32"/>
      <c r="I4" s="32"/>
      <c r="J4" s="32"/>
      <c r="K4" s="32"/>
      <c r="L4" s="32" t="s">
        <v>52</v>
      </c>
      <c r="M4" s="32"/>
      <c r="N4" s="32"/>
      <c r="O4" s="32"/>
      <c r="P4" s="32"/>
      <c r="Q4" s="32"/>
      <c r="R4" s="32"/>
      <c r="S4" s="32"/>
      <c r="T4" s="32" t="s">
        <v>51</v>
      </c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56" t="s">
        <v>53</v>
      </c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7"/>
      <c r="BD4" s="15"/>
    </row>
    <row r="5" spans="1:56">
      <c r="A5" s="14"/>
      <c r="B5" s="70" t="s">
        <v>45</v>
      </c>
      <c r="C5" s="70"/>
      <c r="D5" s="62" t="s">
        <v>95</v>
      </c>
      <c r="E5" s="62"/>
      <c r="F5" s="62"/>
      <c r="G5" s="62"/>
      <c r="H5" s="62"/>
      <c r="I5" s="62"/>
      <c r="J5" s="62"/>
      <c r="K5" s="62"/>
      <c r="L5" s="62" t="s">
        <v>83</v>
      </c>
      <c r="M5" s="62"/>
      <c r="N5" s="62"/>
      <c r="O5" s="62"/>
      <c r="P5" s="62"/>
      <c r="Q5" s="62"/>
      <c r="R5" s="62"/>
      <c r="S5" s="62"/>
      <c r="T5" s="62" t="s">
        <v>96</v>
      </c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75" t="s">
        <v>55</v>
      </c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7"/>
      <c r="BD5" s="15"/>
    </row>
    <row r="6" spans="1:56">
      <c r="A6" s="14"/>
      <c r="B6" s="70" t="s">
        <v>46</v>
      </c>
      <c r="C6" s="70"/>
      <c r="D6" s="62" t="s">
        <v>95</v>
      </c>
      <c r="E6" s="62"/>
      <c r="F6" s="62"/>
      <c r="G6" s="62"/>
      <c r="H6" s="62"/>
      <c r="I6" s="62"/>
      <c r="J6" s="62"/>
      <c r="K6" s="62"/>
      <c r="L6" s="62" t="s">
        <v>83</v>
      </c>
      <c r="M6" s="62"/>
      <c r="N6" s="62"/>
      <c r="O6" s="62"/>
      <c r="P6" s="62"/>
      <c r="Q6" s="62"/>
      <c r="R6" s="62"/>
      <c r="S6" s="62"/>
      <c r="T6" s="62" t="s">
        <v>97</v>
      </c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75" t="s">
        <v>100</v>
      </c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7"/>
      <c r="BD6" s="15"/>
    </row>
    <row r="7" spans="1:56">
      <c r="A7" s="14"/>
      <c r="B7" s="70" t="s">
        <v>109</v>
      </c>
      <c r="C7" s="70"/>
      <c r="D7" s="62" t="s">
        <v>95</v>
      </c>
      <c r="E7" s="62"/>
      <c r="F7" s="62"/>
      <c r="G7" s="62"/>
      <c r="H7" s="62"/>
      <c r="I7" s="62"/>
      <c r="J7" s="62"/>
      <c r="K7" s="62"/>
      <c r="L7" s="62" t="s">
        <v>83</v>
      </c>
      <c r="M7" s="62"/>
      <c r="N7" s="62"/>
      <c r="O7" s="62"/>
      <c r="P7" s="62"/>
      <c r="Q7" s="62"/>
      <c r="R7" s="62"/>
      <c r="S7" s="62"/>
      <c r="T7" s="62" t="s">
        <v>98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75" t="s">
        <v>54</v>
      </c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7"/>
      <c r="BD7" s="15"/>
    </row>
    <row r="8" spans="1:56">
      <c r="A8" s="14"/>
      <c r="B8" s="70" t="s">
        <v>110</v>
      </c>
      <c r="C8" s="70"/>
      <c r="D8" s="62" t="s">
        <v>95</v>
      </c>
      <c r="E8" s="62"/>
      <c r="F8" s="62"/>
      <c r="G8" s="62"/>
      <c r="H8" s="62"/>
      <c r="I8" s="62"/>
      <c r="J8" s="62"/>
      <c r="K8" s="62"/>
      <c r="L8" s="62" t="s">
        <v>99</v>
      </c>
      <c r="M8" s="62"/>
      <c r="N8" s="62"/>
      <c r="O8" s="62"/>
      <c r="P8" s="62"/>
      <c r="Q8" s="62"/>
      <c r="R8" s="62"/>
      <c r="S8" s="62"/>
      <c r="T8" s="62" t="s">
        <v>96</v>
      </c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75" t="s">
        <v>55</v>
      </c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7"/>
      <c r="BD8" s="15"/>
    </row>
    <row r="9" spans="1:56">
      <c r="A9" s="14"/>
      <c r="B9" s="70" t="s">
        <v>111</v>
      </c>
      <c r="C9" s="70"/>
      <c r="D9" s="62" t="s">
        <v>101</v>
      </c>
      <c r="E9" s="62"/>
      <c r="F9" s="62"/>
      <c r="G9" s="62"/>
      <c r="H9" s="62"/>
      <c r="I9" s="62"/>
      <c r="J9" s="62"/>
      <c r="K9" s="62"/>
      <c r="L9" s="62" t="s">
        <v>99</v>
      </c>
      <c r="M9" s="62"/>
      <c r="N9" s="62"/>
      <c r="O9" s="62"/>
      <c r="P9" s="62"/>
      <c r="Q9" s="62"/>
      <c r="R9" s="62"/>
      <c r="S9" s="62"/>
      <c r="T9" s="62" t="s">
        <v>102</v>
      </c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75" t="s">
        <v>119</v>
      </c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7"/>
      <c r="BD9" s="15"/>
    </row>
    <row r="10" spans="1:56">
      <c r="A10" s="14"/>
      <c r="B10" s="70" t="s">
        <v>112</v>
      </c>
      <c r="C10" s="70"/>
      <c r="D10" s="62" t="s">
        <v>101</v>
      </c>
      <c r="E10" s="62"/>
      <c r="F10" s="62"/>
      <c r="G10" s="62"/>
      <c r="H10" s="62"/>
      <c r="I10" s="62"/>
      <c r="J10" s="62"/>
      <c r="K10" s="62"/>
      <c r="L10" s="62" t="s">
        <v>132</v>
      </c>
      <c r="M10" s="62"/>
      <c r="N10" s="62"/>
      <c r="O10" s="62"/>
      <c r="P10" s="62"/>
      <c r="Q10" s="62"/>
      <c r="R10" s="62"/>
      <c r="S10" s="62"/>
      <c r="T10" s="62" t="s">
        <v>108</v>
      </c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75" t="s">
        <v>107</v>
      </c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7"/>
      <c r="BD10" s="15"/>
    </row>
    <row r="11" spans="1:56">
      <c r="A11" s="14"/>
      <c r="B11" s="70" t="s">
        <v>113</v>
      </c>
      <c r="C11" s="70"/>
      <c r="D11" s="62" t="s">
        <v>103</v>
      </c>
      <c r="E11" s="62"/>
      <c r="F11" s="62"/>
      <c r="G11" s="62"/>
      <c r="H11" s="62"/>
      <c r="I11" s="62"/>
      <c r="J11" s="62"/>
      <c r="K11" s="62"/>
      <c r="L11" s="62" t="s">
        <v>99</v>
      </c>
      <c r="M11" s="62"/>
      <c r="N11" s="62"/>
      <c r="O11" s="62"/>
      <c r="P11" s="62"/>
      <c r="Q11" s="62"/>
      <c r="R11" s="62"/>
      <c r="S11" s="62"/>
      <c r="T11" s="62" t="s">
        <v>104</v>
      </c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75" t="s">
        <v>120</v>
      </c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7"/>
      <c r="BD11" s="15"/>
    </row>
    <row r="12" spans="1:56">
      <c r="A12" s="14"/>
      <c r="B12" s="70" t="s">
        <v>114</v>
      </c>
      <c r="C12" s="70"/>
      <c r="D12" s="62" t="s">
        <v>103</v>
      </c>
      <c r="E12" s="62"/>
      <c r="F12" s="62"/>
      <c r="G12" s="62"/>
      <c r="H12" s="62"/>
      <c r="I12" s="62"/>
      <c r="J12" s="62"/>
      <c r="K12" s="62"/>
      <c r="L12" s="62" t="s">
        <v>132</v>
      </c>
      <c r="M12" s="62"/>
      <c r="N12" s="62"/>
      <c r="O12" s="62"/>
      <c r="P12" s="62"/>
      <c r="Q12" s="62"/>
      <c r="R12" s="62"/>
      <c r="S12" s="62"/>
      <c r="T12" s="62" t="s">
        <v>108</v>
      </c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75" t="s">
        <v>107</v>
      </c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7"/>
      <c r="BD12" s="15"/>
    </row>
    <row r="13" spans="1:56">
      <c r="A13" s="14"/>
      <c r="B13" s="70" t="s">
        <v>115</v>
      </c>
      <c r="C13" s="70"/>
      <c r="D13" s="62" t="s">
        <v>105</v>
      </c>
      <c r="E13" s="62"/>
      <c r="F13" s="62"/>
      <c r="G13" s="62"/>
      <c r="H13" s="62"/>
      <c r="I13" s="62"/>
      <c r="J13" s="62"/>
      <c r="K13" s="62"/>
      <c r="L13" s="62" t="s">
        <v>99</v>
      </c>
      <c r="M13" s="62"/>
      <c r="N13" s="62"/>
      <c r="O13" s="62"/>
      <c r="P13" s="62"/>
      <c r="Q13" s="62"/>
      <c r="R13" s="62"/>
      <c r="S13" s="62"/>
      <c r="T13" s="62" t="s">
        <v>106</v>
      </c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75" t="s">
        <v>118</v>
      </c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7"/>
      <c r="BD13" s="15"/>
    </row>
    <row r="14" spans="1:56">
      <c r="A14" s="14"/>
      <c r="B14" s="70" t="s">
        <v>116</v>
      </c>
      <c r="C14" s="70"/>
      <c r="D14" s="62" t="s">
        <v>105</v>
      </c>
      <c r="E14" s="62"/>
      <c r="F14" s="62"/>
      <c r="G14" s="62"/>
      <c r="H14" s="62"/>
      <c r="I14" s="62"/>
      <c r="J14" s="62"/>
      <c r="K14" s="62"/>
      <c r="L14" s="62" t="s">
        <v>132</v>
      </c>
      <c r="M14" s="62"/>
      <c r="N14" s="62"/>
      <c r="O14" s="62"/>
      <c r="P14" s="62"/>
      <c r="Q14" s="62"/>
      <c r="R14" s="62"/>
      <c r="S14" s="62"/>
      <c r="T14" s="62" t="s">
        <v>108</v>
      </c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75" t="s">
        <v>107</v>
      </c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7"/>
      <c r="BD14" s="15"/>
    </row>
    <row r="15" spans="1:56">
      <c r="A15" s="14"/>
      <c r="BD15" s="15"/>
    </row>
    <row r="16" spans="1:56" ht="14.25" thickBo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8"/>
    </row>
  </sheetData>
  <mergeCells count="69">
    <mergeCell ref="AL4:BC4"/>
    <mergeCell ref="B4:C4"/>
    <mergeCell ref="AC1:AF1"/>
    <mergeCell ref="T4:AK4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  <mergeCell ref="B5:C5"/>
    <mergeCell ref="D5:K5"/>
    <mergeCell ref="L5:S5"/>
    <mergeCell ref="T5:AK5"/>
    <mergeCell ref="D4:K4"/>
    <mergeCell ref="L4:S4"/>
    <mergeCell ref="AL5:BC5"/>
    <mergeCell ref="B6:C6"/>
    <mergeCell ref="D6:K6"/>
    <mergeCell ref="L6:S6"/>
    <mergeCell ref="T6:AK6"/>
    <mergeCell ref="AL6:BC6"/>
    <mergeCell ref="B7:C7"/>
    <mergeCell ref="D7:K7"/>
    <mergeCell ref="L7:S7"/>
    <mergeCell ref="T7:AK7"/>
    <mergeCell ref="AL7:BC7"/>
    <mergeCell ref="B8:C8"/>
    <mergeCell ref="D8:K8"/>
    <mergeCell ref="L8:S8"/>
    <mergeCell ref="T8:AK8"/>
    <mergeCell ref="AL8:BC8"/>
    <mergeCell ref="B9:C9"/>
    <mergeCell ref="D9:K9"/>
    <mergeCell ref="L9:S9"/>
    <mergeCell ref="T9:AK9"/>
    <mergeCell ref="AL9:BC9"/>
    <mergeCell ref="B11:C11"/>
    <mergeCell ref="D11:K11"/>
    <mergeCell ref="L11:S11"/>
    <mergeCell ref="T11:AK11"/>
    <mergeCell ref="AL11:BC11"/>
    <mergeCell ref="B13:C13"/>
    <mergeCell ref="D13:K13"/>
    <mergeCell ref="L13:S13"/>
    <mergeCell ref="T13:AK13"/>
    <mergeCell ref="AL13:BC13"/>
    <mergeCell ref="B10:C10"/>
    <mergeCell ref="D10:K10"/>
    <mergeCell ref="L10:S10"/>
    <mergeCell ref="T10:AK10"/>
    <mergeCell ref="AL10:BC10"/>
    <mergeCell ref="B14:C14"/>
    <mergeCell ref="D14:K14"/>
    <mergeCell ref="L14:S14"/>
    <mergeCell ref="T14:AK14"/>
    <mergeCell ref="AL14:BC14"/>
    <mergeCell ref="B12:C12"/>
    <mergeCell ref="D12:K12"/>
    <mergeCell ref="L12:S12"/>
    <mergeCell ref="T12:AK12"/>
    <mergeCell ref="AL12:BC12"/>
  </mergeCells>
  <phoneticPr fontId="2"/>
  <printOptions horizontalCentered="1"/>
  <pageMargins left="0.25" right="0.25" top="0.75" bottom="0.75" header="0.3" footer="0.3"/>
  <pageSetup paperSize="9" scale="6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342B-D889-42F0-B025-F43EF0B26F8D}">
  <sheetPr>
    <pageSetUpPr fitToPage="1"/>
  </sheetPr>
  <dimension ref="A1:AR25"/>
  <sheetViews>
    <sheetView showGridLines="0" view="pageBreakPreview" zoomScaleNormal="100" zoomScaleSheetLayoutView="100" workbookViewId="0">
      <pane ySplit="2" topLeftCell="A3" activePane="bottomLeft" state="frozen"/>
      <selection activeCell="A3" sqref="A3"/>
      <selection pane="bottomLeft" activeCell="AC29" sqref="AC29"/>
    </sheetView>
  </sheetViews>
  <sheetFormatPr defaultColWidth="3.625" defaultRowHeight="13.5"/>
  <cols>
    <col min="1" max="16384" width="3.625" style="2"/>
  </cols>
  <sheetData>
    <row r="1" spans="1:44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19"/>
      <c r="AO1" s="19"/>
      <c r="AP1" s="19"/>
      <c r="AQ1" s="19"/>
      <c r="AR1" s="20"/>
    </row>
    <row r="2" spans="1:44">
      <c r="A2" s="53" t="s">
        <v>0</v>
      </c>
      <c r="B2" s="32"/>
      <c r="C2" s="32"/>
      <c r="D2" s="32"/>
      <c r="E2" s="46" t="s">
        <v>145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1"/>
      <c r="AO2" s="21"/>
      <c r="AP2" s="21"/>
      <c r="AQ2" s="21"/>
      <c r="AR2" s="22"/>
    </row>
    <row r="3" spans="1:44">
      <c r="A3" s="14"/>
      <c r="AR3" s="15"/>
    </row>
    <row r="4" spans="1:44">
      <c r="A4" s="14"/>
      <c r="B4" s="32" t="s">
        <v>17</v>
      </c>
      <c r="C4" s="32"/>
      <c r="D4" s="32"/>
      <c r="E4" s="32"/>
      <c r="F4" s="62" t="s">
        <v>163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15"/>
    </row>
    <row r="5" spans="1:44">
      <c r="A5" s="14"/>
      <c r="B5" s="86" t="s">
        <v>28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15"/>
    </row>
    <row r="6" spans="1:44">
      <c r="A6" s="14"/>
      <c r="B6" s="86" t="s">
        <v>148</v>
      </c>
      <c r="C6" s="87"/>
      <c r="D6" s="87"/>
      <c r="E6" s="88"/>
      <c r="F6" s="75" t="s">
        <v>143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7"/>
      <c r="AR6" s="15"/>
    </row>
    <row r="7" spans="1:44">
      <c r="A7" s="14"/>
      <c r="B7" s="81" t="s">
        <v>8</v>
      </c>
      <c r="C7" s="83"/>
      <c r="D7" s="81" t="s">
        <v>20</v>
      </c>
      <c r="E7" s="82"/>
      <c r="F7" s="82"/>
      <c r="G7" s="82"/>
      <c r="H7" s="82"/>
      <c r="I7" s="83"/>
      <c r="J7" s="81" t="s">
        <v>21</v>
      </c>
      <c r="K7" s="82"/>
      <c r="L7" s="82"/>
      <c r="M7" s="82"/>
      <c r="N7" s="82"/>
      <c r="O7" s="83"/>
      <c r="P7" s="32" t="s">
        <v>23</v>
      </c>
      <c r="Q7" s="32"/>
      <c r="R7" s="32"/>
      <c r="S7" s="32"/>
      <c r="T7" s="32"/>
      <c r="U7" s="32"/>
      <c r="V7" s="32"/>
      <c r="W7" s="81" t="s">
        <v>27</v>
      </c>
      <c r="X7" s="83"/>
      <c r="Y7" s="81" t="s">
        <v>22</v>
      </c>
      <c r="Z7" s="83"/>
      <c r="AA7" s="56" t="s">
        <v>25</v>
      </c>
      <c r="AB7" s="57"/>
      <c r="AC7" s="56" t="s">
        <v>26</v>
      </c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7"/>
      <c r="AR7" s="15"/>
    </row>
    <row r="8" spans="1:44">
      <c r="A8" s="14"/>
      <c r="B8" s="46">
        <v>1</v>
      </c>
      <c r="C8" s="46"/>
      <c r="D8" s="84" t="s">
        <v>151</v>
      </c>
      <c r="E8" s="84"/>
      <c r="F8" s="84"/>
      <c r="G8" s="84"/>
      <c r="H8" s="84"/>
      <c r="I8" s="84"/>
      <c r="J8" s="84" t="s">
        <v>152</v>
      </c>
      <c r="K8" s="84"/>
      <c r="L8" s="84"/>
      <c r="M8" s="84"/>
      <c r="N8" s="84"/>
      <c r="O8" s="84"/>
      <c r="P8" s="84" t="s">
        <v>33</v>
      </c>
      <c r="Q8" s="84"/>
      <c r="R8" s="84"/>
      <c r="S8" s="84"/>
      <c r="T8" s="84"/>
      <c r="U8" s="84"/>
      <c r="V8" s="84"/>
      <c r="W8" s="46">
        <v>1</v>
      </c>
      <c r="X8" s="46"/>
      <c r="Y8" s="46" t="s">
        <v>34</v>
      </c>
      <c r="Z8" s="46"/>
      <c r="AA8" s="33"/>
      <c r="AB8" s="35"/>
      <c r="AC8" s="78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80"/>
      <c r="AR8" s="15"/>
    </row>
    <row r="9" spans="1:44">
      <c r="A9" s="14"/>
      <c r="B9" s="46">
        <v>2</v>
      </c>
      <c r="C9" s="46"/>
      <c r="D9" s="84" t="s">
        <v>164</v>
      </c>
      <c r="E9" s="84"/>
      <c r="F9" s="84"/>
      <c r="G9" s="84"/>
      <c r="H9" s="84"/>
      <c r="I9" s="84"/>
      <c r="J9" s="84" t="s">
        <v>165</v>
      </c>
      <c r="K9" s="84"/>
      <c r="L9" s="84"/>
      <c r="M9" s="84"/>
      <c r="N9" s="84"/>
      <c r="O9" s="84"/>
      <c r="P9" s="84" t="s">
        <v>32</v>
      </c>
      <c r="Q9" s="84"/>
      <c r="R9" s="84"/>
      <c r="S9" s="84"/>
      <c r="T9" s="84"/>
      <c r="U9" s="84"/>
      <c r="V9" s="84"/>
      <c r="W9" s="46">
        <v>1</v>
      </c>
      <c r="X9" s="46"/>
      <c r="Y9" s="46" t="s">
        <v>34</v>
      </c>
      <c r="Z9" s="46"/>
      <c r="AA9" s="33"/>
      <c r="AB9" s="35"/>
      <c r="AC9" s="78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80"/>
      <c r="AR9" s="15"/>
    </row>
    <row r="10" spans="1:44">
      <c r="A10" s="14"/>
      <c r="B10" s="46">
        <v>3</v>
      </c>
      <c r="C10" s="46"/>
      <c r="D10" s="84" t="s">
        <v>166</v>
      </c>
      <c r="E10" s="84"/>
      <c r="F10" s="84"/>
      <c r="G10" s="84"/>
      <c r="H10" s="84"/>
      <c r="I10" s="84"/>
      <c r="J10" s="84" t="s">
        <v>167</v>
      </c>
      <c r="K10" s="84"/>
      <c r="L10" s="84"/>
      <c r="M10" s="84"/>
      <c r="N10" s="84"/>
      <c r="O10" s="84"/>
      <c r="P10" s="84" t="s">
        <v>32</v>
      </c>
      <c r="Q10" s="84"/>
      <c r="R10" s="84"/>
      <c r="S10" s="84"/>
      <c r="T10" s="84"/>
      <c r="U10" s="84"/>
      <c r="V10" s="84"/>
      <c r="W10" s="46">
        <v>1</v>
      </c>
      <c r="X10" s="46"/>
      <c r="Y10" s="46" t="s">
        <v>34</v>
      </c>
      <c r="Z10" s="46"/>
      <c r="AA10" s="33"/>
      <c r="AB10" s="35"/>
      <c r="AC10" s="78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80"/>
      <c r="AR10" s="15"/>
    </row>
    <row r="11" spans="1:44">
      <c r="A11" s="14"/>
      <c r="B11" s="86" t="s">
        <v>29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8"/>
      <c r="AR11" s="15"/>
    </row>
    <row r="12" spans="1:44">
      <c r="A12" s="14"/>
      <c r="B12" s="85" t="s">
        <v>148</v>
      </c>
      <c r="C12" s="85"/>
      <c r="D12" s="85"/>
      <c r="E12" s="85"/>
      <c r="F12" s="62" t="s">
        <v>144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15"/>
    </row>
    <row r="13" spans="1:44">
      <c r="A13" s="14"/>
      <c r="B13" s="81" t="s">
        <v>8</v>
      </c>
      <c r="C13" s="83"/>
      <c r="D13" s="81" t="s">
        <v>20</v>
      </c>
      <c r="E13" s="82"/>
      <c r="F13" s="82"/>
      <c r="G13" s="82"/>
      <c r="H13" s="82"/>
      <c r="I13" s="83"/>
      <c r="J13" s="81" t="s">
        <v>21</v>
      </c>
      <c r="K13" s="82"/>
      <c r="L13" s="82"/>
      <c r="M13" s="82"/>
      <c r="N13" s="82"/>
      <c r="O13" s="83"/>
      <c r="P13" s="32" t="s">
        <v>23</v>
      </c>
      <c r="Q13" s="32"/>
      <c r="R13" s="32"/>
      <c r="S13" s="32"/>
      <c r="T13" s="32"/>
      <c r="U13" s="32"/>
      <c r="V13" s="32"/>
      <c r="W13" s="81" t="s">
        <v>27</v>
      </c>
      <c r="X13" s="83"/>
      <c r="Y13" s="81" t="s">
        <v>22</v>
      </c>
      <c r="Z13" s="83"/>
      <c r="AA13" s="56" t="s">
        <v>25</v>
      </c>
      <c r="AB13" s="57"/>
      <c r="AC13" s="56" t="s">
        <v>26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7"/>
      <c r="AR13" s="15"/>
    </row>
    <row r="14" spans="1:44">
      <c r="A14" s="14"/>
      <c r="B14" s="46"/>
      <c r="C14" s="46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46"/>
      <c r="X14" s="46"/>
      <c r="Y14" s="46"/>
      <c r="Z14" s="46"/>
      <c r="AA14" s="33"/>
      <c r="AB14" s="35"/>
      <c r="AC14" s="78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80"/>
      <c r="AR14" s="15"/>
    </row>
    <row r="15" spans="1:44">
      <c r="A15" s="14"/>
      <c r="AR15" s="15"/>
    </row>
    <row r="16" spans="1:44">
      <c r="A16" s="95"/>
      <c r="B16" s="32" t="s">
        <v>17</v>
      </c>
      <c r="C16" s="32"/>
      <c r="D16" s="32"/>
      <c r="E16" s="32"/>
      <c r="F16" s="62" t="s">
        <v>168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95"/>
    </row>
    <row r="17" spans="1:44">
      <c r="A17" s="95"/>
      <c r="B17" s="86" t="s">
        <v>28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8"/>
      <c r="AR17" s="95"/>
    </row>
    <row r="18" spans="1:44">
      <c r="B18" s="86" t="s">
        <v>148</v>
      </c>
      <c r="C18" s="87"/>
      <c r="D18" s="87"/>
      <c r="E18" s="88"/>
      <c r="F18" s="75" t="s">
        <v>143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7"/>
    </row>
    <row r="19" spans="1:44">
      <c r="B19" s="81" t="s">
        <v>8</v>
      </c>
      <c r="C19" s="83"/>
      <c r="D19" s="81" t="s">
        <v>20</v>
      </c>
      <c r="E19" s="82"/>
      <c r="F19" s="82"/>
      <c r="G19" s="82"/>
      <c r="H19" s="82"/>
      <c r="I19" s="83"/>
      <c r="J19" s="81" t="s">
        <v>21</v>
      </c>
      <c r="K19" s="82"/>
      <c r="L19" s="82"/>
      <c r="M19" s="82"/>
      <c r="N19" s="82"/>
      <c r="O19" s="83"/>
      <c r="P19" s="32" t="s">
        <v>23</v>
      </c>
      <c r="Q19" s="32"/>
      <c r="R19" s="32"/>
      <c r="S19" s="32"/>
      <c r="T19" s="32"/>
      <c r="U19" s="32"/>
      <c r="V19" s="32"/>
      <c r="W19" s="81" t="s">
        <v>27</v>
      </c>
      <c r="X19" s="83"/>
      <c r="Y19" s="81" t="s">
        <v>22</v>
      </c>
      <c r="Z19" s="83"/>
      <c r="AA19" s="56" t="s">
        <v>25</v>
      </c>
      <c r="AB19" s="57"/>
      <c r="AC19" s="56" t="s">
        <v>26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7"/>
    </row>
    <row r="20" spans="1:44">
      <c r="B20" s="46">
        <v>1</v>
      </c>
      <c r="C20" s="46"/>
      <c r="D20" s="84" t="s">
        <v>151</v>
      </c>
      <c r="E20" s="84"/>
      <c r="F20" s="84"/>
      <c r="G20" s="84"/>
      <c r="H20" s="84"/>
      <c r="I20" s="84"/>
      <c r="J20" s="84" t="s">
        <v>152</v>
      </c>
      <c r="K20" s="84"/>
      <c r="L20" s="84"/>
      <c r="M20" s="84"/>
      <c r="N20" s="84"/>
      <c r="O20" s="84"/>
      <c r="P20" s="84" t="s">
        <v>33</v>
      </c>
      <c r="Q20" s="84"/>
      <c r="R20" s="84"/>
      <c r="S20" s="84"/>
      <c r="T20" s="84"/>
      <c r="U20" s="84"/>
      <c r="V20" s="84"/>
      <c r="W20" s="46">
        <v>1</v>
      </c>
      <c r="X20" s="46"/>
      <c r="Y20" s="46" t="s">
        <v>34</v>
      </c>
      <c r="Z20" s="46"/>
      <c r="AA20" s="33"/>
      <c r="AB20" s="35"/>
      <c r="AC20" s="78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80"/>
    </row>
    <row r="21" spans="1:44">
      <c r="B21" s="46">
        <v>2</v>
      </c>
      <c r="C21" s="46"/>
      <c r="D21" s="84" t="s">
        <v>164</v>
      </c>
      <c r="E21" s="84"/>
      <c r="F21" s="84"/>
      <c r="G21" s="84"/>
      <c r="H21" s="84"/>
      <c r="I21" s="84"/>
      <c r="J21" s="84" t="s">
        <v>165</v>
      </c>
      <c r="K21" s="84"/>
      <c r="L21" s="84"/>
      <c r="M21" s="84"/>
      <c r="N21" s="84"/>
      <c r="O21" s="84"/>
      <c r="P21" s="84" t="s">
        <v>32</v>
      </c>
      <c r="Q21" s="84"/>
      <c r="R21" s="84"/>
      <c r="S21" s="84"/>
      <c r="T21" s="84"/>
      <c r="U21" s="84"/>
      <c r="V21" s="84"/>
      <c r="W21" s="46">
        <v>1</v>
      </c>
      <c r="X21" s="46"/>
      <c r="Y21" s="46" t="s">
        <v>34</v>
      </c>
      <c r="Z21" s="46"/>
      <c r="AA21" s="33"/>
      <c r="AB21" s="35"/>
      <c r="AC21" s="78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80"/>
    </row>
    <row r="22" spans="1:44">
      <c r="B22" s="86" t="s">
        <v>29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8"/>
    </row>
    <row r="23" spans="1:44">
      <c r="B23" s="85" t="s">
        <v>148</v>
      </c>
      <c r="C23" s="85"/>
      <c r="D23" s="85"/>
      <c r="E23" s="85"/>
      <c r="F23" s="62" t="s">
        <v>144</v>
      </c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</row>
    <row r="24" spans="1:44">
      <c r="B24" s="81" t="s">
        <v>8</v>
      </c>
      <c r="C24" s="83"/>
      <c r="D24" s="81" t="s">
        <v>20</v>
      </c>
      <c r="E24" s="82"/>
      <c r="F24" s="82"/>
      <c r="G24" s="82"/>
      <c r="H24" s="82"/>
      <c r="I24" s="83"/>
      <c r="J24" s="81" t="s">
        <v>21</v>
      </c>
      <c r="K24" s="82"/>
      <c r="L24" s="82"/>
      <c r="M24" s="82"/>
      <c r="N24" s="82"/>
      <c r="O24" s="83"/>
      <c r="P24" s="32" t="s">
        <v>23</v>
      </c>
      <c r="Q24" s="32"/>
      <c r="R24" s="32"/>
      <c r="S24" s="32"/>
      <c r="T24" s="32"/>
      <c r="U24" s="32"/>
      <c r="V24" s="32"/>
      <c r="W24" s="81" t="s">
        <v>27</v>
      </c>
      <c r="X24" s="83"/>
      <c r="Y24" s="81" t="s">
        <v>22</v>
      </c>
      <c r="Z24" s="83"/>
      <c r="AA24" s="56" t="s">
        <v>25</v>
      </c>
      <c r="AB24" s="57"/>
      <c r="AC24" s="56" t="s">
        <v>26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7"/>
    </row>
    <row r="25" spans="1:44">
      <c r="B25" s="46">
        <v>1</v>
      </c>
      <c r="C25" s="46"/>
      <c r="D25" s="84" t="s">
        <v>166</v>
      </c>
      <c r="E25" s="84"/>
      <c r="F25" s="84"/>
      <c r="G25" s="84"/>
      <c r="H25" s="84"/>
      <c r="I25" s="84"/>
      <c r="J25" s="84" t="s">
        <v>167</v>
      </c>
      <c r="K25" s="84"/>
      <c r="L25" s="84"/>
      <c r="M25" s="84"/>
      <c r="N25" s="84"/>
      <c r="O25" s="84"/>
      <c r="P25" s="84" t="s">
        <v>32</v>
      </c>
      <c r="Q25" s="84"/>
      <c r="R25" s="84"/>
      <c r="S25" s="84"/>
      <c r="T25" s="84"/>
      <c r="U25" s="84"/>
      <c r="V25" s="84"/>
      <c r="W25" s="46">
        <v>1</v>
      </c>
      <c r="X25" s="46"/>
      <c r="Y25" s="46" t="s">
        <v>34</v>
      </c>
      <c r="Z25" s="46"/>
      <c r="AA25" s="33"/>
      <c r="AB25" s="35"/>
      <c r="AC25" s="78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80"/>
    </row>
  </sheetData>
  <mergeCells count="118">
    <mergeCell ref="Y24:Z24"/>
    <mergeCell ref="AA24:AB24"/>
    <mergeCell ref="AC24:AQ24"/>
    <mergeCell ref="B25:C25"/>
    <mergeCell ref="D25:I25"/>
    <mergeCell ref="J25:O25"/>
    <mergeCell ref="P25:V25"/>
    <mergeCell ref="W25:X25"/>
    <mergeCell ref="Y25:Z25"/>
    <mergeCell ref="AA25:AB25"/>
    <mergeCell ref="AC25:AQ25"/>
    <mergeCell ref="B24:C24"/>
    <mergeCell ref="D24:I24"/>
    <mergeCell ref="J24:O24"/>
    <mergeCell ref="P24:V24"/>
    <mergeCell ref="W24:X24"/>
    <mergeCell ref="B22:AQ22"/>
    <mergeCell ref="B23:E23"/>
    <mergeCell ref="F23:AQ23"/>
    <mergeCell ref="Y20:Z20"/>
    <mergeCell ref="AA20:AB20"/>
    <mergeCell ref="AC20:AQ20"/>
    <mergeCell ref="B21:C21"/>
    <mergeCell ref="D21:I21"/>
    <mergeCell ref="J21:O21"/>
    <mergeCell ref="P21:V21"/>
    <mergeCell ref="W21:X21"/>
    <mergeCell ref="Y21:Z21"/>
    <mergeCell ref="AA21:AB21"/>
    <mergeCell ref="AC21:AQ21"/>
    <mergeCell ref="B20:C20"/>
    <mergeCell ref="D20:I20"/>
    <mergeCell ref="J20:O20"/>
    <mergeCell ref="P20:V20"/>
    <mergeCell ref="W20:X20"/>
    <mergeCell ref="B17:AQ17"/>
    <mergeCell ref="B18:E18"/>
    <mergeCell ref="F18:AQ18"/>
    <mergeCell ref="B19:C19"/>
    <mergeCell ref="D19:I19"/>
    <mergeCell ref="J19:O19"/>
    <mergeCell ref="P19:V19"/>
    <mergeCell ref="W19:X19"/>
    <mergeCell ref="Y19:Z19"/>
    <mergeCell ref="AA19:AB19"/>
    <mergeCell ref="AC19:AQ19"/>
    <mergeCell ref="B4:E4"/>
    <mergeCell ref="Y7:Z7"/>
    <mergeCell ref="F4:AQ4"/>
    <mergeCell ref="AC7:AQ7"/>
    <mergeCell ref="AA13:AB13"/>
    <mergeCell ref="B9:C9"/>
    <mergeCell ref="B8:C8"/>
    <mergeCell ref="AA9:AB9"/>
    <mergeCell ref="B14:C14"/>
    <mergeCell ref="D14:I14"/>
    <mergeCell ref="J14:O14"/>
    <mergeCell ref="P14:V14"/>
    <mergeCell ref="W14:X14"/>
    <mergeCell ref="B13:C13"/>
    <mergeCell ref="Y13:Z13"/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B6:E6"/>
    <mergeCell ref="F6:AQ6"/>
    <mergeCell ref="B5:AQ5"/>
    <mergeCell ref="Y8:Z8"/>
    <mergeCell ref="W9:X9"/>
    <mergeCell ref="W8:X8"/>
    <mergeCell ref="B7:C7"/>
    <mergeCell ref="D7:I7"/>
    <mergeCell ref="J7:O7"/>
    <mergeCell ref="AA8:AB8"/>
    <mergeCell ref="D9:I9"/>
    <mergeCell ref="D8:I8"/>
    <mergeCell ref="U1:X1"/>
    <mergeCell ref="Y1:AB1"/>
    <mergeCell ref="P7:V7"/>
    <mergeCell ref="P8:V8"/>
    <mergeCell ref="P9:V9"/>
    <mergeCell ref="W7:X7"/>
    <mergeCell ref="AA7:AB7"/>
    <mergeCell ref="B12:E12"/>
    <mergeCell ref="F12:AQ12"/>
    <mergeCell ref="AC8:AQ8"/>
    <mergeCell ref="AC9:AQ9"/>
    <mergeCell ref="J9:O9"/>
    <mergeCell ref="J8:O8"/>
    <mergeCell ref="Y9:Z9"/>
    <mergeCell ref="B11:AQ11"/>
    <mergeCell ref="B10:C10"/>
    <mergeCell ref="D10:I10"/>
    <mergeCell ref="J10:O10"/>
    <mergeCell ref="P10:V10"/>
    <mergeCell ref="W10:X10"/>
    <mergeCell ref="Y10:Z10"/>
    <mergeCell ref="AA10:AB10"/>
    <mergeCell ref="AC10:AQ10"/>
    <mergeCell ref="F16:AQ16"/>
    <mergeCell ref="B16:E16"/>
    <mergeCell ref="D13:I13"/>
    <mergeCell ref="J13:O13"/>
    <mergeCell ref="W13:X13"/>
    <mergeCell ref="Y14:Z14"/>
    <mergeCell ref="AA14:AB14"/>
    <mergeCell ref="AC14:AQ14"/>
    <mergeCell ref="P13:V13"/>
    <mergeCell ref="AC13:AQ13"/>
  </mergeCells>
  <phoneticPr fontId="2"/>
  <printOptions horizontalCentered="1"/>
  <pageMargins left="0.25" right="0.25" top="0.75" bottom="0.75" header="0.3" footer="0.3"/>
  <pageSetup paperSize="9" scale="8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6151-1035-4E30-A91C-AD70707DC329}">
  <sheetPr>
    <pageSetUpPr fitToPage="1"/>
  </sheetPr>
  <dimension ref="A1:AR31"/>
  <sheetViews>
    <sheetView showGridLines="0"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3.625" defaultRowHeight="13.5"/>
  <cols>
    <col min="1" max="16384" width="3.625" style="2"/>
  </cols>
  <sheetData>
    <row r="1" spans="1:44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19"/>
      <c r="AO1" s="19"/>
      <c r="AP1" s="19"/>
      <c r="AQ1" s="19"/>
      <c r="AR1" s="20"/>
    </row>
    <row r="2" spans="1:44">
      <c r="A2" s="53" t="s">
        <v>0</v>
      </c>
      <c r="B2" s="32"/>
      <c r="C2" s="32"/>
      <c r="D2" s="32"/>
      <c r="E2" s="46" t="s">
        <v>16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1"/>
      <c r="AO2" s="21"/>
      <c r="AP2" s="21"/>
      <c r="AQ2" s="21"/>
      <c r="AR2" s="22"/>
    </row>
    <row r="3" spans="1:44">
      <c r="A3" s="14"/>
      <c r="AR3" s="15"/>
    </row>
    <row r="4" spans="1:44">
      <c r="A4" s="14"/>
      <c r="B4" s="81" t="s">
        <v>58</v>
      </c>
      <c r="C4" s="82"/>
      <c r="D4" s="83"/>
      <c r="E4" s="33" t="s">
        <v>123</v>
      </c>
      <c r="F4" s="34"/>
      <c r="G4" s="34"/>
      <c r="H4" s="34"/>
      <c r="I4" s="34"/>
      <c r="J4" s="34"/>
      <c r="K4" s="34"/>
      <c r="L4" s="35"/>
      <c r="AR4" s="15"/>
    </row>
    <row r="5" spans="1:44">
      <c r="A5" s="14"/>
      <c r="B5" s="89"/>
      <c r="C5" s="90"/>
      <c r="D5" s="91"/>
      <c r="E5" s="33" t="s">
        <v>124</v>
      </c>
      <c r="F5" s="34"/>
      <c r="G5" s="34"/>
      <c r="H5" s="34"/>
      <c r="I5" s="34"/>
      <c r="J5" s="34"/>
      <c r="K5" s="34"/>
      <c r="L5" s="35"/>
      <c r="AR5" s="15"/>
    </row>
    <row r="6" spans="1:44">
      <c r="A6" s="14"/>
      <c r="B6" s="86" t="s">
        <v>61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8"/>
      <c r="AR6" s="15"/>
    </row>
    <row r="7" spans="1:44">
      <c r="A7" s="14"/>
      <c r="B7" s="9" t="s">
        <v>8</v>
      </c>
      <c r="C7" s="32" t="s">
        <v>20</v>
      </c>
      <c r="D7" s="32"/>
      <c r="E7" s="32"/>
      <c r="F7" s="32"/>
      <c r="G7" s="32"/>
      <c r="H7" s="32"/>
      <c r="I7" s="32" t="s">
        <v>21</v>
      </c>
      <c r="J7" s="32"/>
      <c r="K7" s="32"/>
      <c r="L7" s="32"/>
      <c r="M7" s="32"/>
      <c r="N7" s="32"/>
      <c r="O7" s="32" t="s">
        <v>23</v>
      </c>
      <c r="P7" s="32"/>
      <c r="Q7" s="32"/>
      <c r="R7" s="32"/>
      <c r="S7" s="32" t="s">
        <v>24</v>
      </c>
      <c r="T7" s="32"/>
      <c r="U7" s="9" t="s">
        <v>56</v>
      </c>
      <c r="V7" s="9" t="s">
        <v>59</v>
      </c>
      <c r="W7" s="56" t="s">
        <v>62</v>
      </c>
      <c r="X7" s="58"/>
      <c r="Y7" s="58"/>
      <c r="Z7" s="58"/>
      <c r="AA7" s="58"/>
      <c r="AB7" s="57"/>
      <c r="AC7" s="56" t="s">
        <v>26</v>
      </c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7"/>
      <c r="AR7" s="15"/>
    </row>
    <row r="8" spans="1:44">
      <c r="A8" s="14"/>
      <c r="B8" s="1">
        <v>1</v>
      </c>
      <c r="C8" s="62" t="s">
        <v>125</v>
      </c>
      <c r="D8" s="62"/>
      <c r="E8" s="62"/>
      <c r="F8" s="62"/>
      <c r="G8" s="62"/>
      <c r="H8" s="62"/>
      <c r="I8" s="62" t="s">
        <v>134</v>
      </c>
      <c r="J8" s="62"/>
      <c r="K8" s="62"/>
      <c r="L8" s="62"/>
      <c r="M8" s="62"/>
      <c r="N8" s="62"/>
      <c r="O8" s="46" t="s">
        <v>64</v>
      </c>
      <c r="P8" s="46"/>
      <c r="Q8" s="46"/>
      <c r="R8" s="46"/>
      <c r="S8" s="46"/>
      <c r="T8" s="46"/>
      <c r="U8" s="1" t="s">
        <v>34</v>
      </c>
      <c r="V8" s="1" t="s">
        <v>34</v>
      </c>
      <c r="W8" s="33"/>
      <c r="X8" s="34"/>
      <c r="Y8" s="34"/>
      <c r="Z8" s="34"/>
      <c r="AA8" s="34"/>
      <c r="AB8" s="35"/>
      <c r="AC8" s="75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7"/>
      <c r="AR8" s="15"/>
    </row>
    <row r="9" spans="1:44">
      <c r="A9" s="14"/>
      <c r="B9" s="1">
        <v>2</v>
      </c>
      <c r="C9" s="62" t="s">
        <v>121</v>
      </c>
      <c r="D9" s="62"/>
      <c r="E9" s="62"/>
      <c r="F9" s="62"/>
      <c r="G9" s="62"/>
      <c r="H9" s="62"/>
      <c r="I9" s="62" t="s">
        <v>135</v>
      </c>
      <c r="J9" s="62"/>
      <c r="K9" s="62"/>
      <c r="L9" s="62"/>
      <c r="M9" s="62"/>
      <c r="N9" s="62"/>
      <c r="O9" s="46" t="s">
        <v>65</v>
      </c>
      <c r="P9" s="46"/>
      <c r="Q9" s="46"/>
      <c r="R9" s="46"/>
      <c r="S9" s="46">
        <v>20</v>
      </c>
      <c r="T9" s="46"/>
      <c r="U9" s="1" t="s">
        <v>34</v>
      </c>
      <c r="V9" s="1" t="s">
        <v>34</v>
      </c>
      <c r="W9" s="33"/>
      <c r="X9" s="34"/>
      <c r="Y9" s="34"/>
      <c r="Z9" s="34"/>
      <c r="AA9" s="34"/>
      <c r="AB9" s="35"/>
      <c r="AC9" s="75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7"/>
      <c r="AR9" s="15"/>
    </row>
    <row r="10" spans="1:44">
      <c r="A10" s="14"/>
      <c r="B10" s="1">
        <v>3</v>
      </c>
      <c r="C10" s="62" t="s">
        <v>126</v>
      </c>
      <c r="D10" s="62"/>
      <c r="E10" s="62"/>
      <c r="F10" s="62"/>
      <c r="G10" s="62"/>
      <c r="H10" s="62"/>
      <c r="I10" s="62" t="s">
        <v>136</v>
      </c>
      <c r="J10" s="62"/>
      <c r="K10" s="62"/>
      <c r="L10" s="62"/>
      <c r="M10" s="62"/>
      <c r="N10" s="62"/>
      <c r="O10" s="46" t="s">
        <v>147</v>
      </c>
      <c r="P10" s="46"/>
      <c r="Q10" s="46"/>
      <c r="R10" s="46"/>
      <c r="S10" s="46"/>
      <c r="T10" s="46"/>
      <c r="U10" s="1"/>
      <c r="V10" s="1" t="s">
        <v>34</v>
      </c>
      <c r="W10" s="33"/>
      <c r="X10" s="34"/>
      <c r="Y10" s="34"/>
      <c r="Z10" s="34"/>
      <c r="AA10" s="34"/>
      <c r="AB10" s="35"/>
      <c r="AC10" s="75" t="s">
        <v>146</v>
      </c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7"/>
      <c r="AR10" s="15"/>
    </row>
    <row r="11" spans="1:44">
      <c r="A11" s="14"/>
      <c r="B11" s="86" t="s">
        <v>66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8"/>
      <c r="AR11" s="15"/>
    </row>
    <row r="12" spans="1:44">
      <c r="A12" s="14"/>
      <c r="B12" s="9" t="s">
        <v>8</v>
      </c>
      <c r="C12" s="56" t="s">
        <v>60</v>
      </c>
      <c r="D12" s="58"/>
      <c r="E12" s="58"/>
      <c r="F12" s="58"/>
      <c r="G12" s="58"/>
      <c r="H12" s="57"/>
      <c r="I12" s="56" t="s">
        <v>70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7"/>
      <c r="AR12" s="15"/>
    </row>
    <row r="13" spans="1:44">
      <c r="A13" s="14"/>
      <c r="B13" s="10" t="s">
        <v>35</v>
      </c>
      <c r="C13" s="75" t="s">
        <v>35</v>
      </c>
      <c r="D13" s="76"/>
      <c r="E13" s="76"/>
      <c r="F13" s="76"/>
      <c r="G13" s="76"/>
      <c r="H13" s="77"/>
      <c r="I13" s="75" t="s">
        <v>35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7"/>
      <c r="AR13" s="15"/>
    </row>
    <row r="14" spans="1:44">
      <c r="A14" s="14"/>
      <c r="B14" s="86" t="s">
        <v>67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8"/>
      <c r="AR14" s="15"/>
    </row>
    <row r="15" spans="1:44">
      <c r="A15" s="14"/>
      <c r="B15" s="9" t="s">
        <v>8</v>
      </c>
      <c r="C15" s="56" t="s">
        <v>70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7"/>
      <c r="O15" s="32" t="s">
        <v>68</v>
      </c>
      <c r="P15" s="32"/>
      <c r="Q15" s="32"/>
      <c r="R15" s="32"/>
      <c r="S15" s="32"/>
      <c r="T15" s="32"/>
      <c r="U15" s="56" t="s">
        <v>71</v>
      </c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7"/>
      <c r="AG15" s="56" t="s">
        <v>69</v>
      </c>
      <c r="AH15" s="58"/>
      <c r="AI15" s="58"/>
      <c r="AJ15" s="58"/>
      <c r="AK15" s="58"/>
      <c r="AL15" s="58"/>
      <c r="AM15" s="58"/>
      <c r="AN15" s="58"/>
      <c r="AO15" s="58"/>
      <c r="AP15" s="58"/>
      <c r="AQ15" s="57"/>
      <c r="AR15" s="15"/>
    </row>
    <row r="16" spans="1:44">
      <c r="A16" s="14"/>
      <c r="B16" s="10" t="s">
        <v>35</v>
      </c>
      <c r="C16" s="75" t="s">
        <v>35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7"/>
      <c r="O16" s="62" t="s">
        <v>35</v>
      </c>
      <c r="P16" s="62"/>
      <c r="Q16" s="62"/>
      <c r="R16" s="62"/>
      <c r="S16" s="62"/>
      <c r="T16" s="62"/>
      <c r="U16" s="75" t="s">
        <v>35</v>
      </c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7"/>
      <c r="AG16" s="75"/>
      <c r="AH16" s="76"/>
      <c r="AI16" s="76"/>
      <c r="AJ16" s="76"/>
      <c r="AK16" s="76"/>
      <c r="AL16" s="76"/>
      <c r="AM16" s="76"/>
      <c r="AN16" s="76"/>
      <c r="AO16" s="76"/>
      <c r="AP16" s="76"/>
      <c r="AQ16" s="77"/>
      <c r="AR16" s="15"/>
    </row>
    <row r="17" spans="1:44">
      <c r="A17" s="14"/>
      <c r="AR17" s="15"/>
    </row>
    <row r="18" spans="1:44">
      <c r="A18" s="14"/>
      <c r="B18" s="81" t="s">
        <v>58</v>
      </c>
      <c r="C18" s="82"/>
      <c r="D18" s="83"/>
      <c r="E18" s="33" t="s">
        <v>129</v>
      </c>
      <c r="F18" s="34"/>
      <c r="G18" s="34"/>
      <c r="H18" s="34"/>
      <c r="I18" s="34"/>
      <c r="J18" s="34"/>
      <c r="K18" s="34"/>
      <c r="L18" s="35"/>
      <c r="AR18" s="15"/>
    </row>
    <row r="19" spans="1:44">
      <c r="A19" s="14"/>
      <c r="B19" s="89"/>
      <c r="C19" s="90"/>
      <c r="D19" s="91"/>
      <c r="E19" s="33" t="s">
        <v>127</v>
      </c>
      <c r="F19" s="34"/>
      <c r="G19" s="34"/>
      <c r="H19" s="34"/>
      <c r="I19" s="34"/>
      <c r="J19" s="34"/>
      <c r="K19" s="34"/>
      <c r="L19" s="35"/>
      <c r="AR19" s="15"/>
    </row>
    <row r="20" spans="1:44">
      <c r="A20" s="14"/>
      <c r="B20" s="86" t="s">
        <v>61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8"/>
      <c r="AR20" s="15"/>
    </row>
    <row r="21" spans="1:44">
      <c r="A21" s="14"/>
      <c r="B21" s="9" t="s">
        <v>8</v>
      </c>
      <c r="C21" s="32" t="s">
        <v>20</v>
      </c>
      <c r="D21" s="32"/>
      <c r="E21" s="32"/>
      <c r="F21" s="32"/>
      <c r="G21" s="32"/>
      <c r="H21" s="32"/>
      <c r="I21" s="32" t="s">
        <v>21</v>
      </c>
      <c r="J21" s="32"/>
      <c r="K21" s="32"/>
      <c r="L21" s="32"/>
      <c r="M21" s="32"/>
      <c r="N21" s="32"/>
      <c r="O21" s="32" t="s">
        <v>23</v>
      </c>
      <c r="P21" s="32"/>
      <c r="Q21" s="32"/>
      <c r="R21" s="32"/>
      <c r="S21" s="32" t="s">
        <v>24</v>
      </c>
      <c r="T21" s="32"/>
      <c r="U21" s="9" t="s">
        <v>56</v>
      </c>
      <c r="V21" s="9" t="s">
        <v>59</v>
      </c>
      <c r="W21" s="56" t="s">
        <v>62</v>
      </c>
      <c r="X21" s="58"/>
      <c r="Y21" s="58"/>
      <c r="Z21" s="58"/>
      <c r="AA21" s="58"/>
      <c r="AB21" s="57"/>
      <c r="AC21" s="56" t="s">
        <v>26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7"/>
      <c r="AR21" s="15"/>
    </row>
    <row r="22" spans="1:44">
      <c r="A22" s="14"/>
      <c r="B22" s="1">
        <v>1</v>
      </c>
      <c r="C22" s="62" t="s">
        <v>128</v>
      </c>
      <c r="D22" s="62"/>
      <c r="E22" s="62"/>
      <c r="F22" s="62"/>
      <c r="G22" s="62"/>
      <c r="H22" s="62"/>
      <c r="I22" s="62" t="s">
        <v>31</v>
      </c>
      <c r="J22" s="62"/>
      <c r="K22" s="62"/>
      <c r="L22" s="62"/>
      <c r="M22" s="62"/>
      <c r="N22" s="62"/>
      <c r="O22" s="46" t="s">
        <v>64</v>
      </c>
      <c r="P22" s="46"/>
      <c r="Q22" s="46"/>
      <c r="R22" s="46"/>
      <c r="S22" s="46"/>
      <c r="T22" s="46"/>
      <c r="U22" s="1" t="s">
        <v>34</v>
      </c>
      <c r="V22" s="1" t="s">
        <v>34</v>
      </c>
      <c r="W22" s="33" t="s">
        <v>63</v>
      </c>
      <c r="X22" s="34"/>
      <c r="Y22" s="34"/>
      <c r="Z22" s="34"/>
      <c r="AA22" s="34"/>
      <c r="AB22" s="35"/>
      <c r="AC22" s="75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7"/>
      <c r="AR22" s="15"/>
    </row>
    <row r="23" spans="1:44">
      <c r="A23" s="14"/>
      <c r="B23" s="1">
        <v>2</v>
      </c>
      <c r="C23" s="62" t="s">
        <v>130</v>
      </c>
      <c r="D23" s="62"/>
      <c r="E23" s="62"/>
      <c r="F23" s="62"/>
      <c r="G23" s="62"/>
      <c r="H23" s="62"/>
      <c r="I23" s="62" t="s">
        <v>30</v>
      </c>
      <c r="J23" s="62"/>
      <c r="K23" s="62"/>
      <c r="L23" s="62"/>
      <c r="M23" s="62"/>
      <c r="N23" s="62"/>
      <c r="O23" s="46" t="s">
        <v>65</v>
      </c>
      <c r="P23" s="46"/>
      <c r="Q23" s="46"/>
      <c r="R23" s="46"/>
      <c r="S23" s="46">
        <v>30</v>
      </c>
      <c r="T23" s="46"/>
      <c r="U23" s="1"/>
      <c r="V23" s="1" t="s">
        <v>34</v>
      </c>
      <c r="W23" s="33"/>
      <c r="X23" s="34"/>
      <c r="Y23" s="34"/>
      <c r="Z23" s="34"/>
      <c r="AA23" s="34"/>
      <c r="AB23" s="35"/>
      <c r="AC23" s="75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7"/>
      <c r="AR23" s="15"/>
    </row>
    <row r="24" spans="1:44">
      <c r="A24" s="14"/>
      <c r="B24" s="86" t="s">
        <v>66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8"/>
      <c r="AR24" s="15"/>
    </row>
    <row r="25" spans="1:44">
      <c r="A25" s="14"/>
      <c r="B25" s="9" t="s">
        <v>8</v>
      </c>
      <c r="C25" s="56" t="s">
        <v>60</v>
      </c>
      <c r="D25" s="58"/>
      <c r="E25" s="58"/>
      <c r="F25" s="58"/>
      <c r="G25" s="58"/>
      <c r="H25" s="57"/>
      <c r="I25" s="56" t="s">
        <v>70</v>
      </c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7"/>
      <c r="AR25" s="15"/>
    </row>
    <row r="26" spans="1:44">
      <c r="A26" s="14"/>
      <c r="B26" s="10" t="s">
        <v>35</v>
      </c>
      <c r="C26" s="75" t="s">
        <v>35</v>
      </c>
      <c r="D26" s="76"/>
      <c r="E26" s="76"/>
      <c r="F26" s="76"/>
      <c r="G26" s="76"/>
      <c r="H26" s="77"/>
      <c r="I26" s="75" t="s">
        <v>35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7"/>
      <c r="AR26" s="15"/>
    </row>
    <row r="27" spans="1:44">
      <c r="A27" s="14"/>
      <c r="B27" s="86" t="s">
        <v>67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8"/>
      <c r="AR27" s="15"/>
    </row>
    <row r="28" spans="1:44">
      <c r="A28" s="14"/>
      <c r="B28" s="9" t="s">
        <v>8</v>
      </c>
      <c r="C28" s="56" t="s">
        <v>70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7"/>
      <c r="O28" s="32" t="s">
        <v>68</v>
      </c>
      <c r="P28" s="32"/>
      <c r="Q28" s="32"/>
      <c r="R28" s="32"/>
      <c r="S28" s="32"/>
      <c r="T28" s="32"/>
      <c r="U28" s="56" t="s">
        <v>71</v>
      </c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7"/>
      <c r="AG28" s="56" t="s">
        <v>69</v>
      </c>
      <c r="AH28" s="58"/>
      <c r="AI28" s="58"/>
      <c r="AJ28" s="58"/>
      <c r="AK28" s="58"/>
      <c r="AL28" s="58"/>
      <c r="AM28" s="58"/>
      <c r="AN28" s="58"/>
      <c r="AO28" s="58"/>
      <c r="AP28" s="58"/>
      <c r="AQ28" s="57"/>
      <c r="AR28" s="15"/>
    </row>
    <row r="29" spans="1:44">
      <c r="A29" s="14"/>
      <c r="B29" s="10" t="s">
        <v>35</v>
      </c>
      <c r="C29" s="75" t="s">
        <v>35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62" t="s">
        <v>35</v>
      </c>
      <c r="P29" s="62"/>
      <c r="Q29" s="62"/>
      <c r="R29" s="62"/>
      <c r="S29" s="62"/>
      <c r="T29" s="62"/>
      <c r="U29" s="75" t="s">
        <v>35</v>
      </c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7"/>
      <c r="AG29" s="75"/>
      <c r="AH29" s="76"/>
      <c r="AI29" s="76"/>
      <c r="AJ29" s="76"/>
      <c r="AK29" s="76"/>
      <c r="AL29" s="76"/>
      <c r="AM29" s="76"/>
      <c r="AN29" s="76"/>
      <c r="AO29" s="76"/>
      <c r="AP29" s="76"/>
      <c r="AQ29" s="77"/>
      <c r="AR29" s="15"/>
    </row>
    <row r="30" spans="1:44">
      <c r="A30" s="14"/>
      <c r="AR30" s="15"/>
    </row>
    <row r="31" spans="1:44" ht="14.25" thickBot="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8"/>
    </row>
  </sheetData>
  <mergeCells count="92"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  <mergeCell ref="B4:D5"/>
    <mergeCell ref="E4:L4"/>
    <mergeCell ref="E5:L5"/>
    <mergeCell ref="B6:AQ6"/>
    <mergeCell ref="C7:H7"/>
    <mergeCell ref="I7:N7"/>
    <mergeCell ref="O7:R7"/>
    <mergeCell ref="S7:T7"/>
    <mergeCell ref="W7:AB7"/>
    <mergeCell ref="AC7:AQ7"/>
    <mergeCell ref="AC8:AQ8"/>
    <mergeCell ref="C9:H9"/>
    <mergeCell ref="I9:N9"/>
    <mergeCell ref="O9:R9"/>
    <mergeCell ref="S9:T9"/>
    <mergeCell ref="W9:AB9"/>
    <mergeCell ref="AC9:AQ9"/>
    <mergeCell ref="C8:H8"/>
    <mergeCell ref="I8:N8"/>
    <mergeCell ref="O8:R8"/>
    <mergeCell ref="S8:T8"/>
    <mergeCell ref="W8:AB8"/>
    <mergeCell ref="AC10:AQ10"/>
    <mergeCell ref="C10:H10"/>
    <mergeCell ref="I10:N10"/>
    <mergeCell ref="O10:R10"/>
    <mergeCell ref="S10:T10"/>
    <mergeCell ref="W10:AB10"/>
    <mergeCell ref="B11:AQ11"/>
    <mergeCell ref="C12:H12"/>
    <mergeCell ref="I12:AQ12"/>
    <mergeCell ref="C13:H13"/>
    <mergeCell ref="I13:AQ13"/>
    <mergeCell ref="B14:AQ14"/>
    <mergeCell ref="C15:N15"/>
    <mergeCell ref="O15:T15"/>
    <mergeCell ref="U15:AF15"/>
    <mergeCell ref="AG15:AQ15"/>
    <mergeCell ref="C16:N16"/>
    <mergeCell ref="O16:T16"/>
    <mergeCell ref="U16:AF16"/>
    <mergeCell ref="AG16:AQ16"/>
    <mergeCell ref="B18:D19"/>
    <mergeCell ref="E18:L18"/>
    <mergeCell ref="E19:L19"/>
    <mergeCell ref="B20:AQ20"/>
    <mergeCell ref="C21:H21"/>
    <mergeCell ref="I21:N21"/>
    <mergeCell ref="O21:R21"/>
    <mergeCell ref="S21:T21"/>
    <mergeCell ref="W21:AB21"/>
    <mergeCell ref="AC21:AQ21"/>
    <mergeCell ref="AC22:AQ22"/>
    <mergeCell ref="C23:H23"/>
    <mergeCell ref="I23:N23"/>
    <mergeCell ref="O23:R23"/>
    <mergeCell ref="S23:T23"/>
    <mergeCell ref="W23:AB23"/>
    <mergeCell ref="AC23:AQ23"/>
    <mergeCell ref="C22:H22"/>
    <mergeCell ref="I22:N22"/>
    <mergeCell ref="O22:R22"/>
    <mergeCell ref="S22:T22"/>
    <mergeCell ref="W22:AB22"/>
    <mergeCell ref="B24:AQ24"/>
    <mergeCell ref="C25:H25"/>
    <mergeCell ref="I25:AQ25"/>
    <mergeCell ref="C26:H26"/>
    <mergeCell ref="I26:AQ26"/>
    <mergeCell ref="C29:N29"/>
    <mergeCell ref="O29:T29"/>
    <mergeCell ref="U29:AF29"/>
    <mergeCell ref="AG29:AQ29"/>
    <mergeCell ref="B27:AQ27"/>
    <mergeCell ref="C28:N28"/>
    <mergeCell ref="O28:T28"/>
    <mergeCell ref="U28:AF28"/>
    <mergeCell ref="AG28:AQ28"/>
  </mergeCells>
  <phoneticPr fontId="2"/>
  <printOptions horizontalCentered="1"/>
  <pageMargins left="0.25" right="0.25" top="0.75" bottom="0.75" header="0.3" footer="0.3"/>
  <pageSetup paperSize="9" scale="8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1F6D-37E7-4A78-BFCB-099A87742011}">
  <sheetPr>
    <pageSetUpPr fitToPage="1"/>
  </sheetPr>
  <dimension ref="A1:AN29"/>
  <sheetViews>
    <sheetView showGridLines="0" view="pageBreakPreview" zoomScaleNormal="100" zoomScaleSheetLayoutView="100" workbookViewId="0">
      <pane ySplit="2" topLeftCell="A3" activePane="bottomLeft" state="frozen"/>
      <selection activeCell="A3" sqref="A3"/>
      <selection pane="bottomLeft" activeCell="M43" sqref="M43"/>
    </sheetView>
  </sheetViews>
  <sheetFormatPr defaultColWidth="3.625" defaultRowHeight="13.5"/>
  <cols>
    <col min="1" max="16384" width="3.625" style="2"/>
  </cols>
  <sheetData>
    <row r="1" spans="1:40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20"/>
    </row>
    <row r="2" spans="1:40">
      <c r="A2" s="53" t="s">
        <v>0</v>
      </c>
      <c r="B2" s="32"/>
      <c r="C2" s="32"/>
      <c r="D2" s="32"/>
      <c r="E2" s="46" t="s">
        <v>15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2"/>
    </row>
    <row r="3" spans="1:40">
      <c r="A3" s="14"/>
      <c r="AN3" s="15"/>
    </row>
    <row r="4" spans="1:40">
      <c r="A4" s="14"/>
      <c r="AN4" s="15"/>
    </row>
    <row r="5" spans="1:40">
      <c r="A5" s="14"/>
      <c r="B5" s="86" t="s">
        <v>124</v>
      </c>
      <c r="C5" s="87"/>
      <c r="D5" s="87"/>
      <c r="E5" s="87"/>
      <c r="F5" s="87"/>
      <c r="G5" s="88"/>
      <c r="L5" s="86" t="s">
        <v>127</v>
      </c>
      <c r="M5" s="87"/>
      <c r="N5" s="87"/>
      <c r="O5" s="87"/>
      <c r="P5" s="87"/>
      <c r="Q5" s="88"/>
      <c r="AN5" s="15"/>
    </row>
    <row r="6" spans="1:40">
      <c r="A6" s="14"/>
      <c r="B6" s="26" t="s">
        <v>131</v>
      </c>
      <c r="C6" s="27"/>
      <c r="D6" s="27"/>
      <c r="E6" s="27"/>
      <c r="F6" s="27"/>
      <c r="G6" s="28"/>
      <c r="L6" s="26" t="s">
        <v>57</v>
      </c>
      <c r="M6" s="27"/>
      <c r="N6" s="27"/>
      <c r="O6" s="27"/>
      <c r="P6" s="27"/>
      <c r="Q6" s="28"/>
      <c r="AN6" s="15"/>
    </row>
    <row r="7" spans="1:40">
      <c r="A7" s="14"/>
      <c r="B7" s="92" t="s">
        <v>117</v>
      </c>
      <c r="C7" s="93"/>
      <c r="D7" s="93"/>
      <c r="E7" s="93"/>
      <c r="F7" s="93"/>
      <c r="G7" s="94"/>
      <c r="L7" s="92" t="s">
        <v>30</v>
      </c>
      <c r="M7" s="93"/>
      <c r="N7" s="93"/>
      <c r="O7" s="93"/>
      <c r="P7" s="93"/>
      <c r="Q7" s="94"/>
      <c r="AN7" s="15"/>
    </row>
    <row r="8" spans="1:40">
      <c r="A8" s="14"/>
      <c r="B8" s="92" t="s">
        <v>122</v>
      </c>
      <c r="C8" s="93"/>
      <c r="D8" s="93"/>
      <c r="E8" s="93"/>
      <c r="F8" s="93"/>
      <c r="G8" s="94"/>
      <c r="L8" s="36"/>
      <c r="M8" s="37"/>
      <c r="N8" s="37"/>
      <c r="O8" s="37"/>
      <c r="P8" s="37"/>
      <c r="Q8" s="38"/>
      <c r="AN8" s="15"/>
    </row>
    <row r="9" spans="1:40">
      <c r="A9" s="14"/>
      <c r="B9" s="36"/>
      <c r="C9" s="37"/>
      <c r="D9" s="37"/>
      <c r="E9" s="37"/>
      <c r="F9" s="37"/>
      <c r="G9" s="38"/>
      <c r="AN9" s="15"/>
    </row>
    <row r="10" spans="1:40">
      <c r="A10" s="14"/>
      <c r="AN10" s="15"/>
    </row>
    <row r="11" spans="1:40">
      <c r="A11" s="14"/>
      <c r="AN11" s="15"/>
    </row>
    <row r="12" spans="1:40">
      <c r="A12" s="14"/>
      <c r="AN12" s="15"/>
    </row>
    <row r="13" spans="1:40">
      <c r="A13" s="14"/>
      <c r="AN13" s="15"/>
    </row>
    <row r="14" spans="1:40">
      <c r="A14" s="14"/>
      <c r="AN14" s="15"/>
    </row>
    <row r="15" spans="1:40">
      <c r="A15" s="14"/>
      <c r="AN15" s="15"/>
    </row>
    <row r="16" spans="1:40">
      <c r="A16" s="14"/>
      <c r="AN16" s="15"/>
    </row>
    <row r="17" spans="1:40">
      <c r="A17" s="14"/>
      <c r="AN17" s="15"/>
    </row>
    <row r="18" spans="1:40">
      <c r="A18" s="14"/>
      <c r="AN18" s="15"/>
    </row>
    <row r="19" spans="1:40">
      <c r="A19" s="14"/>
      <c r="AN19" s="15"/>
    </row>
    <row r="20" spans="1:40">
      <c r="A20" s="14"/>
      <c r="AN20" s="15"/>
    </row>
    <row r="21" spans="1:40">
      <c r="A21" s="14"/>
      <c r="AN21" s="15"/>
    </row>
    <row r="22" spans="1:40">
      <c r="A22" s="14"/>
      <c r="AN22" s="15"/>
    </row>
    <row r="23" spans="1:40">
      <c r="A23" s="14"/>
      <c r="AN23" s="15"/>
    </row>
    <row r="24" spans="1:40">
      <c r="A24" s="14"/>
      <c r="AN24" s="15"/>
    </row>
    <row r="25" spans="1:40">
      <c r="A25" s="14"/>
      <c r="AN25" s="15"/>
    </row>
    <row r="26" spans="1:40">
      <c r="A26" s="14"/>
      <c r="AN26" s="15"/>
    </row>
    <row r="27" spans="1:40">
      <c r="A27" s="14"/>
      <c r="AN27" s="15"/>
    </row>
    <row r="28" spans="1:40">
      <c r="A28" s="14"/>
      <c r="AN28" s="15"/>
    </row>
    <row r="29" spans="1:40" ht="14.25" thickBo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8"/>
    </row>
  </sheetData>
  <mergeCells count="23">
    <mergeCell ref="B9:G9"/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  <mergeCell ref="L5:Q5"/>
    <mergeCell ref="L6:Q6"/>
    <mergeCell ref="L7:Q7"/>
    <mergeCell ref="L8:Q8"/>
    <mergeCell ref="B5:G5"/>
    <mergeCell ref="B6:G6"/>
    <mergeCell ref="B7:G7"/>
    <mergeCell ref="B8:G8"/>
  </mergeCells>
  <phoneticPr fontId="2"/>
  <printOptions horizontalCentered="1"/>
  <pageMargins left="0.25" right="0.25" top="0.75" bottom="0.75" header="0.3" footer="0.3"/>
  <pageSetup paperSize="9" scale="9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ABDE-480A-44EF-B2A1-CFF2C4F12E83}">
  <sheetPr>
    <tabColor rgb="FF7030A0"/>
    <pageSetUpPr fitToPage="1"/>
  </sheetPr>
  <dimension ref="A1:AN38"/>
  <sheetViews>
    <sheetView showGridLines="0" zoomScaleNormal="100" zoomScaleSheetLayoutView="100" workbookViewId="0">
      <pane ySplit="2" topLeftCell="A3" activePane="bottomLeft" state="frozen"/>
      <selection activeCell="E1" sqref="E1:P1"/>
      <selection pane="bottomLeft" activeCell="A3" sqref="A3"/>
    </sheetView>
  </sheetViews>
  <sheetFormatPr defaultColWidth="3.625" defaultRowHeight="13.5"/>
  <cols>
    <col min="1" max="16384" width="3.625" style="2"/>
  </cols>
  <sheetData>
    <row r="1" spans="1:40">
      <c r="A1" s="51" t="s">
        <v>7</v>
      </c>
      <c r="B1" s="52"/>
      <c r="C1" s="52"/>
      <c r="D1" s="52"/>
      <c r="E1" s="47" t="str">
        <f>表紙!$G$10</f>
        <v>スケジュール管理アプリ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2" t="s">
        <v>3</v>
      </c>
      <c r="R1" s="52"/>
      <c r="S1" s="54">
        <f>表紙!$K$22</f>
        <v>1</v>
      </c>
      <c r="T1" s="54"/>
      <c r="U1" s="52" t="s">
        <v>2</v>
      </c>
      <c r="V1" s="52"/>
      <c r="W1" s="52"/>
      <c r="X1" s="52"/>
      <c r="Y1" s="45">
        <f>表紙!$O$22</f>
        <v>46040</v>
      </c>
      <c r="Z1" s="45"/>
      <c r="AA1" s="45"/>
      <c r="AB1" s="45"/>
      <c r="AC1" s="52" t="s">
        <v>5</v>
      </c>
      <c r="AD1" s="52"/>
      <c r="AE1" s="52"/>
      <c r="AF1" s="52"/>
      <c r="AG1" s="45" t="str">
        <f>表紙!$W$22</f>
        <v/>
      </c>
      <c r="AH1" s="45"/>
      <c r="AI1" s="45"/>
      <c r="AJ1" s="45"/>
      <c r="AK1" s="19"/>
      <c r="AL1" s="19"/>
      <c r="AM1" s="19"/>
      <c r="AN1" s="20"/>
    </row>
    <row r="2" spans="1:40">
      <c r="A2" s="53" t="s">
        <v>0</v>
      </c>
      <c r="B2" s="32"/>
      <c r="C2" s="32"/>
      <c r="D2" s="32"/>
      <c r="E2" s="46" t="s">
        <v>10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2"/>
      <c r="R2" s="32"/>
      <c r="S2" s="55"/>
      <c r="T2" s="55"/>
      <c r="U2" s="32" t="s">
        <v>1</v>
      </c>
      <c r="V2" s="32"/>
      <c r="W2" s="32"/>
      <c r="X2" s="32"/>
      <c r="Y2" s="33" t="str">
        <f>表紙!$S$22</f>
        <v>関谷</v>
      </c>
      <c r="Z2" s="34"/>
      <c r="AA2" s="34"/>
      <c r="AB2" s="35"/>
      <c r="AC2" s="32" t="s">
        <v>4</v>
      </c>
      <c r="AD2" s="32"/>
      <c r="AE2" s="32"/>
      <c r="AF2" s="32"/>
      <c r="AG2" s="46" t="str">
        <f>表紙!$AA$22</f>
        <v/>
      </c>
      <c r="AH2" s="46"/>
      <c r="AI2" s="46"/>
      <c r="AJ2" s="46"/>
      <c r="AK2" s="21"/>
      <c r="AL2" s="21"/>
      <c r="AM2" s="21"/>
      <c r="AN2" s="22"/>
    </row>
    <row r="3" spans="1:40">
      <c r="A3" s="14"/>
      <c r="AN3" s="15"/>
    </row>
    <row r="4" spans="1:40">
      <c r="A4" s="14"/>
      <c r="AN4" s="15"/>
    </row>
    <row r="5" spans="1:40">
      <c r="A5" s="14"/>
      <c r="AN5" s="15"/>
    </row>
    <row r="6" spans="1:40">
      <c r="A6" s="14"/>
      <c r="AN6" s="15"/>
    </row>
    <row r="7" spans="1:40">
      <c r="A7" s="14"/>
      <c r="AN7" s="15"/>
    </row>
    <row r="8" spans="1:40">
      <c r="A8" s="14"/>
      <c r="AN8" s="15"/>
    </row>
    <row r="9" spans="1:40">
      <c r="A9" s="14"/>
      <c r="AN9" s="15"/>
    </row>
    <row r="10" spans="1:40">
      <c r="A10" s="14"/>
      <c r="AN10" s="15"/>
    </row>
    <row r="11" spans="1:40">
      <c r="A11" s="14"/>
      <c r="AN11" s="15"/>
    </row>
    <row r="12" spans="1:40">
      <c r="A12" s="14"/>
      <c r="AN12" s="15"/>
    </row>
    <row r="13" spans="1:40">
      <c r="A13" s="14"/>
      <c r="AN13" s="15"/>
    </row>
    <row r="14" spans="1:40">
      <c r="A14" s="14"/>
      <c r="AN14" s="15"/>
    </row>
    <row r="15" spans="1:40">
      <c r="A15" s="14"/>
      <c r="AN15" s="15"/>
    </row>
    <row r="16" spans="1:40">
      <c r="A16" s="14"/>
      <c r="AN16" s="15"/>
    </row>
    <row r="17" spans="1:40">
      <c r="A17" s="14"/>
      <c r="AN17" s="15"/>
    </row>
    <row r="18" spans="1:40">
      <c r="A18" s="14"/>
      <c r="AN18" s="15"/>
    </row>
    <row r="19" spans="1:40">
      <c r="A19" s="14"/>
      <c r="AN19" s="15"/>
    </row>
    <row r="20" spans="1:40">
      <c r="A20" s="14"/>
      <c r="AN20" s="15"/>
    </row>
    <row r="21" spans="1:40">
      <c r="A21" s="14"/>
      <c r="AN21" s="15"/>
    </row>
    <row r="22" spans="1:40">
      <c r="A22" s="14"/>
      <c r="AN22" s="15"/>
    </row>
    <row r="23" spans="1:40">
      <c r="A23" s="14"/>
      <c r="AN23" s="15"/>
    </row>
    <row r="24" spans="1:40">
      <c r="A24" s="14"/>
      <c r="AN24" s="15"/>
    </row>
    <row r="25" spans="1:40">
      <c r="A25" s="14"/>
      <c r="AN25" s="15"/>
    </row>
    <row r="26" spans="1:40">
      <c r="A26" s="14"/>
      <c r="AN26" s="15"/>
    </row>
    <row r="27" spans="1:40">
      <c r="A27" s="14"/>
      <c r="AN27" s="15"/>
    </row>
    <row r="28" spans="1:40">
      <c r="A28" s="14"/>
      <c r="AN28" s="15"/>
    </row>
    <row r="29" spans="1:40">
      <c r="A29" s="14"/>
      <c r="AN29" s="15"/>
    </row>
    <row r="30" spans="1:40">
      <c r="A30" s="14"/>
      <c r="AN30" s="15"/>
    </row>
    <row r="31" spans="1:40">
      <c r="A31" s="14"/>
      <c r="AN31" s="15"/>
    </row>
    <row r="32" spans="1:40">
      <c r="A32" s="14"/>
      <c r="AN32" s="15"/>
    </row>
    <row r="33" spans="1:40">
      <c r="A33" s="14"/>
      <c r="AN33" s="15"/>
    </row>
    <row r="34" spans="1:40">
      <c r="A34" s="14"/>
      <c r="AN34" s="15"/>
    </row>
    <row r="35" spans="1:40">
      <c r="A35" s="14"/>
      <c r="AN35" s="15"/>
    </row>
    <row r="36" spans="1:40">
      <c r="A36" s="14"/>
      <c r="AN36" s="15"/>
    </row>
    <row r="37" spans="1:40">
      <c r="A37" s="14"/>
      <c r="AN37" s="15"/>
    </row>
    <row r="38" spans="1:40" ht="14.25" thickBot="1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</row>
  </sheetData>
  <mergeCells count="14">
    <mergeCell ref="AC1:AF1"/>
    <mergeCell ref="AG1:AJ1"/>
    <mergeCell ref="A2:D2"/>
    <mergeCell ref="E2:P2"/>
    <mergeCell ref="U2:X2"/>
    <mergeCell ref="Y2:AB2"/>
    <mergeCell ref="AC2:AF2"/>
    <mergeCell ref="AG2:AJ2"/>
    <mergeCell ref="A1:D1"/>
    <mergeCell ref="E1:P1"/>
    <mergeCell ref="Q1:R2"/>
    <mergeCell ref="S1:T2"/>
    <mergeCell ref="U1:X1"/>
    <mergeCell ref="Y1:AB1"/>
  </mergeCells>
  <phoneticPr fontId="2"/>
  <printOptions horizontalCentered="1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表紙</vt:lpstr>
      <vt:lpstr>更新履歴</vt:lpstr>
      <vt:lpstr>機能定義</vt:lpstr>
      <vt:lpstr>画面遷移図</vt:lpstr>
      <vt:lpstr>画面設計</vt:lpstr>
      <vt:lpstr>チェック仕様</vt:lpstr>
      <vt:lpstr>外部IF仕様</vt:lpstr>
      <vt:lpstr>テーブル定義</vt:lpstr>
      <vt:lpstr>ER図</vt:lpstr>
      <vt:lpstr>フォーマット</vt:lpstr>
      <vt:lpstr>外部IF仕様!Print_Area</vt:lpstr>
      <vt:lpstr>機能定義!Print_Area</vt:lpstr>
      <vt:lpstr>表紙!Print_Area</vt:lpstr>
      <vt:lpstr>ER図!Print_Titles</vt:lpstr>
      <vt:lpstr>チェック仕様!Print_Titles</vt:lpstr>
      <vt:lpstr>テーブル定義!Print_Titles</vt:lpstr>
      <vt:lpstr>フォーマット!Print_Titles</vt:lpstr>
      <vt:lpstr>画面設計!Print_Titles</vt:lpstr>
      <vt:lpstr>画面遷移図!Print_Titles</vt:lpstr>
      <vt:lpstr>外部IF仕様!Print_Titles</vt:lpstr>
      <vt:lpstr>機能定義!Print_Titles</vt:lpstr>
      <vt:lpstr>更新履歴!Print_Titles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shiraishi</dc:creator>
  <cp:lastModifiedBy>海仁 関谷</cp:lastModifiedBy>
  <cp:lastPrinted>2023-03-10T05:38:20Z</cp:lastPrinted>
  <dcterms:created xsi:type="dcterms:W3CDTF">2015-06-05T18:19:34Z</dcterms:created>
  <dcterms:modified xsi:type="dcterms:W3CDTF">2026-01-17T19:21:31Z</dcterms:modified>
</cp:coreProperties>
</file>